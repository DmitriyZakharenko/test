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3"/>
  </sheets>
  <definedNames/>
  <calcPr/>
</workbook>
</file>

<file path=xl/sharedStrings.xml><?xml version="1.0" encoding="utf-8"?>
<sst xmlns="http://schemas.openxmlformats.org/spreadsheetml/2006/main" count="3" uniqueCount="3">
  <si>
    <t>i</t>
  </si>
  <si>
    <t>Map</t>
  </si>
  <si>
    <t>???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</si>
</sst>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name val="Arial"/>
    </font>
    <font>
      <b/>
      <u/>
      <sz val="10.0"/>
      <color rgb="FF000000"/>
      <name val="Arial"/>
    </font>
    <font>
      <b/>
      <u/>
      <color rgb="FF000000"/>
      <name val="Arial"/>
    </font>
    <font/>
    <font>
      <b/>
      <color rgb="FF000000"/>
      <name val="Arial"/>
    </font>
    <font>
      <b/>
      <u/>
      <color rgb="FF000000"/>
      <name val="Arial"/>
    </font>
    <font>
      <name val="Arial"/>
    </font>
    <font>
      <b/>
      <sz val="10.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10.0"/>
      <color rgb="FF000000"/>
      <name val="Arial"/>
    </font>
    <font>
      <b/>
      <color rgb="FF000000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660000"/>
        <bgColor rgb="FF660000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2" fontId="4" numFmtId="0" xfId="0" applyFont="1"/>
    <xf borderId="0" fillId="2" fontId="5" numFmtId="0" xfId="0" applyAlignment="1" applyFont="1">
      <alignment horizontal="center"/>
    </xf>
    <xf borderId="0" fillId="2" fontId="6" numFmtId="0" xfId="0" applyAlignment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2" fontId="7" numFmtId="0" xfId="0" applyAlignment="1" applyFont="1">
      <alignment vertical="bottom"/>
    </xf>
    <xf borderId="0" fillId="2" fontId="8" numFmtId="0" xfId="0" applyAlignment="1" applyFont="1">
      <alignment horizontal="center" readingOrder="0" vertical="center"/>
    </xf>
    <xf borderId="0" fillId="2" fontId="9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2" fontId="10" numFmtId="0" xfId="0" applyAlignment="1" applyFont="1">
      <alignment horizontal="center" readingOrder="0"/>
    </xf>
    <xf borderId="0" fillId="4" fontId="1" numFmtId="0" xfId="0" applyAlignment="1" applyFill="1" applyFont="1">
      <alignment horizontal="center"/>
    </xf>
    <xf borderId="0" fillId="0" fontId="11" numFmtId="0" xfId="0" applyAlignment="1" applyFont="1">
      <alignment horizontal="center" readingOrder="0"/>
    </xf>
    <xf borderId="0" fillId="5" fontId="1" numFmtId="0" xfId="0" applyAlignment="1" applyFill="1" applyFont="1">
      <alignment horizontal="center"/>
    </xf>
    <xf borderId="0" fillId="6" fontId="8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/>
    </xf>
    <xf borderId="0" fillId="2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8" fontId="8" numFmtId="0" xfId="0" applyAlignment="1" applyFill="1" applyFont="1">
      <alignment horizontal="center" readingOrder="0" vertical="center"/>
    </xf>
    <xf borderId="0" fillId="9" fontId="8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12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0" fillId="14" fontId="8" numFmtId="0" xfId="0" applyAlignment="1" applyFill="1" applyFont="1">
      <alignment horizontal="center" readingOrder="0" vertical="center"/>
    </xf>
    <xf borderId="0" fillId="15" fontId="8" numFmtId="0" xfId="0" applyAlignment="1" applyFill="1" applyFont="1">
      <alignment horizontal="center" readingOrder="0" vertical="center"/>
    </xf>
    <xf borderId="0" fillId="16" fontId="8" numFmtId="0" xfId="0" applyAlignment="1" applyFill="1" applyFont="1">
      <alignment horizontal="center" readingOrder="0" vertical="center"/>
    </xf>
    <xf borderId="0" fillId="17" fontId="8" numFmtId="0" xfId="0" applyAlignment="1" applyFill="1" applyFont="1">
      <alignment horizontal="center" readingOrder="0" vertical="center"/>
    </xf>
    <xf borderId="0" fillId="18" fontId="8" numFmtId="0" xfId="0" applyAlignment="1" applyFill="1" applyFont="1">
      <alignment horizontal="center" readingOrder="0" vertical="center"/>
    </xf>
    <xf borderId="0" fillId="19" fontId="8" numFmtId="0" xfId="0" applyAlignment="1" applyFill="1" applyFont="1">
      <alignment horizontal="center" readingOrder="0" vertical="center"/>
    </xf>
    <xf borderId="0" fillId="20" fontId="8" numFmtId="0" xfId="0" applyAlignment="1" applyFill="1" applyFont="1">
      <alignment horizontal="center" readingOrder="0" vertical="center"/>
    </xf>
    <xf borderId="0" fillId="21" fontId="8" numFmtId="0" xfId="0" applyAlignment="1" applyFill="1" applyFont="1">
      <alignment horizontal="center" readingOrder="0" vertical="center"/>
    </xf>
    <xf borderId="0" fillId="0" fontId="14" numFmtId="0" xfId="0" applyAlignment="1" applyFont="1">
      <alignment horizontal="center"/>
    </xf>
    <xf borderId="0" fillId="22" fontId="8" numFmtId="0" xfId="0" applyAlignment="1" applyFill="1" applyFont="1">
      <alignment horizontal="center" readingOrder="0" vertical="center"/>
    </xf>
    <xf borderId="0" fillId="23" fontId="8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2" fontId="15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2" fontId="16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abellenblatt1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1" displayName="Table_1" id="1">
  <tableColumns count="4">
    <tableColumn name="i" id="1"/>
    <tableColumn name="Map" id="2"/>
    <tableColumn name="Mob Count Ø from u/not_Shorex" id="3"/>
    <tableColumn name="poechecklist.com" id="4"/>
  </tableColumns>
  <tableStyleInfo name="Tabellenblatt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3.13"/>
    <col customWidth="1" min="3" max="3" width="17.0"/>
    <col customWidth="1" min="4" max="4" width="24.88"/>
  </cols>
  <sheetData>
    <row r="1" ht="34.5" customHeight="1">
      <c r="A1" s="1" t="s">
        <v>0</v>
      </c>
      <c r="B1" s="1" t="s">
        <v>1</v>
      </c>
      <c r="C1" s="2" t="str">
        <f>HYPERLINK("https://new.reddit.com/r/pathofexile/comments/axict5/mob_count_for_every_map_statistics/?utm_source=share&amp;utm_medium=web2x","Mob Count Ø from u/not_Shorex")</f>
        <v>Mob Count Ø from u/not_Shorex</v>
      </c>
      <c r="D1" s="3" t="str">
        <f>HYPERLINK("https://poechecklist.com/#/","poechecklist.com")</f>
        <v>poechecklist.com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>
        <v>1.0</v>
      </c>
      <c r="B2" s="6" t="str">
        <f>HYPERLINK("https://pathofexile.gamepedia.com/Desert_Map","Desert Map")</f>
        <v>Desert Map</v>
      </c>
      <c r="C2" s="7">
        <v>593.0</v>
      </c>
      <c r="D2" s="6" t="str">
        <f>HYPERLINK("https://poechecklist.com/maps/desert.jpg","Layout/Tileset")</f>
        <v>Layout/Tileset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9">
        <v>1.0</v>
      </c>
      <c r="B3" s="10" t="str">
        <f>HYPERLINK("https://pathofexile.gamepedia.com/Ivory_Temple_Map","Ivory Temple Map")</f>
        <v>Ivory Temple Map</v>
      </c>
      <c r="C3" s="11">
        <v>587.0</v>
      </c>
      <c r="D3" s="12" t="str">
        <f>HYPERLINK("https://poechecklist.com/maps/ivory_temple.jpg","Layout/Tileset")</f>
        <v>Layout/Tileset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9">
        <v>1.0</v>
      </c>
      <c r="B4" s="10" t="str">
        <f>HYPERLINK("https://pathofexile.gamepedia.com/Haunted_Mansion_Map","Haunted Mansion Map")</f>
        <v>Haunted Mansion Map</v>
      </c>
      <c r="C4" s="13">
        <v>517.0</v>
      </c>
      <c r="D4" s="14" t="str">
        <f>HYPERLINK("https://poechecklist.com/maps/haunted_mansion.jpg","Layout/Tileset")</f>
        <v>Layout/Tileset</v>
      </c>
    </row>
    <row r="5">
      <c r="A5" s="9">
        <v>1.0</v>
      </c>
      <c r="B5" s="10" t="str">
        <f>HYPERLINK("https://pathofexile.gamepedia.com/Sulphur_Vents_Map","Sulphur Vents Map")</f>
        <v>Sulphur Vents Map</v>
      </c>
      <c r="C5" s="15">
        <v>492.0</v>
      </c>
      <c r="D5" s="14" t="str">
        <f>HYPERLINK("https://poechecklist.com/maps/sulphur_vents.jpg","Layout/Tileset")</f>
        <v>Layout/Tileset</v>
      </c>
    </row>
    <row r="6">
      <c r="A6" s="16">
        <v>2.0</v>
      </c>
      <c r="B6" s="10" t="str">
        <f>HYPERLINK("https://pathofexile.gamepedia.com/Armoury_Map","Armoury Map")</f>
        <v>Armoury Map</v>
      </c>
      <c r="C6" s="17">
        <v>618.0</v>
      </c>
      <c r="D6" s="18" t="str">
        <f>HYPERLINK("https://poechecklist.com/maps/armoury.jpg","Layout/Tileset")</f>
        <v>Layout/Tileset</v>
      </c>
    </row>
    <row r="7">
      <c r="A7" s="16">
        <v>2.0</v>
      </c>
      <c r="B7" s="10" t="str">
        <f>HYPERLINK("https://pathofexile.gamepedia.com/Barrows_Map","Barrows Map")</f>
        <v>Barrows Map</v>
      </c>
      <c r="C7" s="17">
        <v>609.0</v>
      </c>
      <c r="D7" s="12" t="str">
        <f>HYPERLINK("https://poechecklist.com/maps/barrows.jpg","Layout/Tileset")</f>
        <v>Layout/Tileset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16">
        <v>2.0</v>
      </c>
      <c r="B8" s="10" t="str">
        <f>HYPERLINK("https://pathofexile.gamepedia.com/Thicket_Map","Thicket Map")</f>
        <v>Thicket Map</v>
      </c>
      <c r="C8" s="13">
        <v>545.0</v>
      </c>
      <c r="D8" s="10" t="str">
        <f>HYPERLINK("https://poechecklist.com/maps/thicket.jpg","Layout/Tileset")</f>
        <v>Layout/Tileset</v>
      </c>
    </row>
    <row r="9">
      <c r="A9" s="16">
        <v>2.0</v>
      </c>
      <c r="B9" s="10" t="str">
        <f>HYPERLINK("https://pathofexile.gamepedia.com/Alleyways_Map","Alleyways Map")</f>
        <v>Alleyways Map</v>
      </c>
      <c r="C9" s="13">
        <v>522.0</v>
      </c>
      <c r="D9" s="12" t="str">
        <f>HYPERLINK("https://poechecklist.com/maps/alleyways.jpg","Layout/Tileset")</f>
        <v>Layout/Tileset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16">
        <v>2.0</v>
      </c>
      <c r="B10" s="10" t="str">
        <f>HYPERLINK("https://pathofexile.gamepedia.com/Lookout_Map","Lookout Map")</f>
        <v>Lookout Map</v>
      </c>
      <c r="C10" s="13">
        <v>500.0</v>
      </c>
      <c r="D10" s="10" t="str">
        <f>HYPERLINK("https://poechecklist.com/maps/lookout.jpg","Layout/Tileset")</f>
        <v>Layout/Tileset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16">
        <v>2.0</v>
      </c>
      <c r="B11" s="10" t="str">
        <f>HYPERLINK("https://pathofexile.gamepedia.com/Glacier_Map","Glacier Map")</f>
        <v>Glacier Map</v>
      </c>
      <c r="C11" s="15">
        <v>461.0</v>
      </c>
      <c r="D11" s="19" t="str">
        <f>HYPERLINK("https://poechecklist.com/maps/glacier.jpg","Layout/Tileset")</f>
        <v>Layout/Tileset</v>
      </c>
    </row>
    <row r="12">
      <c r="A12" s="20">
        <v>3.0</v>
      </c>
      <c r="B12" s="10" t="str">
        <f>HYPERLINK("https://pathofexile.gamepedia.com/Flooded_Mine_Map","Flooded Mine Map")</f>
        <v>Flooded Mine Map</v>
      </c>
      <c r="C12" s="17">
        <v>621.0</v>
      </c>
      <c r="D12" s="10" t="str">
        <f>HYPERLINK("https://poechecklist.com/maps/flooded_mine.jpg","Layout/Tileset")</f>
        <v>Layout/Tileset</v>
      </c>
    </row>
    <row r="13">
      <c r="A13" s="20">
        <v>3.0</v>
      </c>
      <c r="B13" s="10" t="str">
        <f>HYPERLINK("https://pathofexile.gamepedia.com/Pier_Map","Pier Map")</f>
        <v>Pier Map</v>
      </c>
      <c r="C13" s="11">
        <v>588.0</v>
      </c>
      <c r="D13" s="10" t="str">
        <f>HYPERLINK("https://poechecklist.com/maps/pier.jpg","Layout/Tileset")</f>
        <v>Layout/Tileset</v>
      </c>
    </row>
    <row r="14">
      <c r="A14" s="20">
        <v>3.0</v>
      </c>
      <c r="B14" s="10" t="str">
        <f>HYPERLINK("https://pathofexile.gamepedia.com/Arid_Lake_Map","Arid Lake Map")</f>
        <v>Arid Lake Map</v>
      </c>
      <c r="C14" s="11">
        <v>562.0</v>
      </c>
      <c r="D14" s="10" t="str">
        <f>HYPERLINK("https://poechecklist.com/maps/arid_lake.jpg","Layout/Tileset")</f>
        <v>Layout/Tileset</v>
      </c>
    </row>
    <row r="15">
      <c r="A15" s="20">
        <v>3.0</v>
      </c>
      <c r="B15" s="10" t="str">
        <f>HYPERLINK("https://pathofexile.gamepedia.com/Relic Chambers_Map","Relic Chambers Map")</f>
        <v>Relic Chambers Map</v>
      </c>
      <c r="C15" s="13">
        <v>547.0</v>
      </c>
      <c r="D15" s="10" t="str">
        <f>HYPERLINK("https://poechecklist.com/maps/relic_chambers.jpg","Layout/Tileset")</f>
        <v>Layout/Tileset</v>
      </c>
    </row>
    <row r="16">
      <c r="A16" s="20">
        <v>3.0</v>
      </c>
      <c r="B16" s="10" t="str">
        <f>HYPERLINK("https://pathofexile.gamepedia.com/Wharf_Map","Wharf Map")</f>
        <v>Wharf Map</v>
      </c>
      <c r="C16" s="13">
        <v>526.0</v>
      </c>
      <c r="D16" s="10" t="str">
        <f>HYPERLINK("https://poechecklist.com/maps/wharf.jpg","Layout/Tileset")</f>
        <v>Layout/Tileset</v>
      </c>
    </row>
    <row r="17">
      <c r="A17" s="20">
        <v>3.0</v>
      </c>
      <c r="B17" s="10" t="str">
        <f>HYPERLINK("https://pathofexile.gamepedia.com/Arachnid_Tomb_Map","Arachnid Tomb Map")</f>
        <v>Arachnid Tomb Map</v>
      </c>
      <c r="C17" s="13">
        <v>516.0</v>
      </c>
      <c r="D17" s="10" t="str">
        <f>HYPERLINK("https://poechecklist.com/maps/arachnid_tomb.jpg","Layout/Tileset")</f>
        <v>Layout/Tileset</v>
      </c>
    </row>
    <row r="18">
      <c r="A18" s="20">
        <v>3.0</v>
      </c>
      <c r="B18" s="10" t="str">
        <f>HYPERLINK("https://pathofexile.gamepedia.com/Mausoleum_Map","Mausoleum Map")</f>
        <v>Mausoleum Map</v>
      </c>
      <c r="C18" s="13">
        <v>515.0</v>
      </c>
      <c r="D18" s="10" t="str">
        <f>HYPERLINK("https://poechecklist.com/maps/mausoleum.jpg","Layout/Tileset")</f>
        <v>Layout/Tileset</v>
      </c>
    </row>
    <row r="19">
      <c r="A19" s="20">
        <v>3.0</v>
      </c>
      <c r="B19" s="10" t="str">
        <f>HYPERLINK("https://pathofexile.gamepedia.com/Pen_Map","Pen Map")</f>
        <v>Pen Map</v>
      </c>
      <c r="C19" s="13">
        <v>514.0</v>
      </c>
      <c r="D19" s="10" t="str">
        <f>HYPERLINK("https://poechecklist.com/maps/pen.jpg","Layout/Tileset")</f>
        <v>Layout/Tileset</v>
      </c>
    </row>
    <row r="20">
      <c r="A20" s="20">
        <v>3.0</v>
      </c>
      <c r="B20" s="10" t="str">
        <f>HYPERLINK("https://pathofexile.gamepedia.com/Leyline_Map","Leyline Map")</f>
        <v>Leyline Map</v>
      </c>
      <c r="C20" s="15">
        <v>499.0</v>
      </c>
      <c r="D20" s="10" t="str">
        <f>HYPERLINK("https://poechecklist.com/maps/leyline.jpg","Layout/Tileset")</f>
        <v>Layout/Tileset</v>
      </c>
    </row>
    <row r="21">
      <c r="A21" s="20">
        <v>3.0</v>
      </c>
      <c r="B21" s="10" t="str">
        <f>HYPERLINK("https://pathofexile.gamepedia.com/Ashen_Wood_Map","Ashen Wood Map")</f>
        <v>Ashen Wood Map</v>
      </c>
      <c r="C21" s="15">
        <v>492.0</v>
      </c>
      <c r="D21" s="10" t="str">
        <f>HYPERLINK("https://poechecklist.com/maps/ashen_wood.jpg","Layout/Tileset")</f>
        <v>Layout/Tileset</v>
      </c>
    </row>
    <row r="22">
      <c r="A22" s="21">
        <v>4.0</v>
      </c>
      <c r="B22" s="10" t="str">
        <f>HYPERLINK("https://pathofexile.gamepedia.com/Crater_Map","Crater Map")</f>
        <v>Crater Map</v>
      </c>
      <c r="C22" s="17">
        <v>660.0</v>
      </c>
      <c r="D22" s="10" t="str">
        <f>HYPERLINK("https://poechecklist.com/maps/crater.jpg","Layout/Tileset")</f>
        <v>Layout/Tileset</v>
      </c>
    </row>
    <row r="23">
      <c r="A23" s="21">
        <v>4.0</v>
      </c>
      <c r="B23" s="10" t="str">
        <f>HYPERLINK("https://pathofexile.gamepedia.com/Grotto_Map","Grotto Map")</f>
        <v>Grotto Map</v>
      </c>
      <c r="C23" s="11">
        <v>595.0</v>
      </c>
      <c r="D23" s="10" t="str">
        <f>HYPERLINK("https://poechecklist.com/maps/grotto.jpg","Layout/Tileset")</f>
        <v>Layout/Tileset</v>
      </c>
    </row>
    <row r="24">
      <c r="A24" s="21">
        <v>4.0</v>
      </c>
      <c r="B24" s="10" t="str">
        <f>HYPERLINK("https://pathofexile.gamepedia.com/Excavation_Map","Excavation Map")</f>
        <v>Excavation Map</v>
      </c>
      <c r="C24" s="11">
        <v>589.0</v>
      </c>
      <c r="D24" s="10" t="str">
        <f>HYPERLINK("https://poechecklist.com/maps/excavation.jpg","Layout/Tileset")</f>
        <v>Layout/Tileset</v>
      </c>
    </row>
    <row r="25">
      <c r="A25" s="21">
        <v>4.0</v>
      </c>
      <c r="B25" s="10" t="str">
        <f>HYPERLINK("https://pathofexile.gamepedia.com/Channel_Map","Channel Map")</f>
        <v>Channel Map</v>
      </c>
      <c r="C25" s="11">
        <v>559.0</v>
      </c>
      <c r="D25" s="10" t="str">
        <f>HYPERLINK("https://poechecklist.com/maps/channel.jpg","Layout/Tileset")</f>
        <v>Layout/Tileset</v>
      </c>
    </row>
    <row r="26">
      <c r="A26" s="21">
        <v>4.0</v>
      </c>
      <c r="B26" s="10" t="str">
        <f>HYPERLINK("https://pathofexile.gamepedia.com/Cursed_Crypt_Map","Cursed Crypt Map")</f>
        <v>Cursed Crypt Map</v>
      </c>
      <c r="C26" s="13">
        <v>538.0</v>
      </c>
      <c r="D26" s="10" t="str">
        <f>HYPERLINK("https://poechecklist.com/maps/cursed_crypt.jpg","Layout/Tileset")</f>
        <v>Layout/Tileset</v>
      </c>
    </row>
    <row r="27">
      <c r="A27" s="21">
        <v>4.0</v>
      </c>
      <c r="B27" s="10" t="str">
        <f>HYPERLINK("https://pathofexile.gamepedia.com/Fields_Map","Fields Map")</f>
        <v>Fields Map</v>
      </c>
      <c r="C27" s="15">
        <v>474.0</v>
      </c>
      <c r="D27" s="10" t="str">
        <f>HYPERLINK("https://poechecklist.com/maps/fields.jpg","Layout/Tileset")</f>
        <v>Layout/Tileset</v>
      </c>
    </row>
    <row r="28">
      <c r="A28" s="21">
        <v>4.0</v>
      </c>
      <c r="B28" s="10" t="str">
        <f>HYPERLINK("https://pathofexile.gamepedia.com/City_Square_Map","City Square Map")</f>
        <v>City Square Map</v>
      </c>
      <c r="C28" s="15">
        <v>466.0</v>
      </c>
      <c r="D28" s="10" t="str">
        <f>HYPERLINK("https://poechecklist.com/maps/city_square.jpg","Layout/Tileset")</f>
        <v>Layout/Tileset</v>
      </c>
    </row>
    <row r="29">
      <c r="A29" s="21">
        <v>4.0</v>
      </c>
      <c r="B29" s="10" t="str">
        <f>HYPERLINK("https://pathofexile.gamepedia.com/Cage_Map","Cage Map")</f>
        <v>Cage Map</v>
      </c>
      <c r="C29" s="15">
        <v>463.0</v>
      </c>
      <c r="D29" s="10" t="str">
        <f>HYPERLINK("https://poechecklist.com/maps/cage.jpg","Layout/Tileset")</f>
        <v>Layout/Tileset</v>
      </c>
    </row>
    <row r="30">
      <c r="A30" s="21">
        <v>4.0</v>
      </c>
      <c r="B30" s="10" t="str">
        <f>HYPERLINK("https://pathofexile.gamepedia.com/Beach_Map","Beach Map")</f>
        <v>Beach Map</v>
      </c>
      <c r="C30" s="22">
        <v>445.0</v>
      </c>
      <c r="D30" s="10" t="str">
        <f>HYPERLINK("https://poechecklist.com/maps/beach.jpg","Layout/Tileset")</f>
        <v>Layout/Tileset</v>
      </c>
    </row>
    <row r="31">
      <c r="A31" s="21">
        <v>4.0</v>
      </c>
      <c r="B31" s="10" t="str">
        <f>HYPERLINK("https://pathofexile.gamepedia.com/Strand_Map","Strand Map")</f>
        <v>Strand Map</v>
      </c>
      <c r="C31" s="23">
        <v>369.0</v>
      </c>
      <c r="D31" s="10" t="str">
        <f>HYPERLINK("https://poechecklist.com/maps/strand.jpg","Layout/Tileset")</f>
        <v>Layout/Tileset</v>
      </c>
    </row>
    <row r="32">
      <c r="A32" s="24">
        <v>5.0</v>
      </c>
      <c r="B32" s="10" t="str">
        <f>HYPERLINK("https://pathofexile.gamepedia.com/Burial_Chambers_Map","Burial Chambers Map")</f>
        <v>Burial Chambers Map</v>
      </c>
      <c r="C32" s="17">
        <v>612.0</v>
      </c>
      <c r="D32" s="10" t="str">
        <f>HYPERLINK("https://poechecklist.com/maps/burial_chambers.jpg","Layout/Tileset")</f>
        <v>Layout/Tileset</v>
      </c>
    </row>
    <row r="33">
      <c r="A33" s="24">
        <v>5.0</v>
      </c>
      <c r="B33" s="10" t="str">
        <f>HYPERLINK("https://pathofexile.gamepedia.com/Marshes_Map","Marshes Map")</f>
        <v>Marshes Map</v>
      </c>
      <c r="C33" s="17">
        <v>607.0</v>
      </c>
      <c r="D33" s="10" t="str">
        <f>HYPERLINK("https://poechecklist.com/maps/marshes.jpg","Layout/Tileset")</f>
        <v>Layout/Tileset</v>
      </c>
    </row>
    <row r="34">
      <c r="A34" s="24">
        <v>5.0</v>
      </c>
      <c r="B34" s="10" t="str">
        <f>HYPERLINK("https://pathofexile.gamepedia.com/Ramparts_Map","Ramparts Map")</f>
        <v>Ramparts Map</v>
      </c>
      <c r="C34" s="11">
        <v>568.0</v>
      </c>
      <c r="D34" s="10" t="str">
        <f>HYPERLINK("https://poechecklist.com/maps/ramparts.jpg","Layout/Tileset")</f>
        <v>Layout/Tileset</v>
      </c>
    </row>
    <row r="35">
      <c r="A35" s="24">
        <v>5.0</v>
      </c>
      <c r="B35" s="10" t="str">
        <f>HYPERLINK("https://pathofexile.gamepedia.com/Arcade_Map","Arcade Map")</f>
        <v>Arcade Map</v>
      </c>
      <c r="C35" s="13">
        <v>536.0</v>
      </c>
      <c r="D35" s="10" t="str">
        <f>HYPERLINK("https://poechecklist.com/maps/arcade.jpg","Layout/Tileset")</f>
        <v>Layout/Tileset</v>
      </c>
    </row>
    <row r="36">
      <c r="A36" s="24">
        <v>5.0</v>
      </c>
      <c r="B36" s="10" t="str">
        <f>HYPERLINK("https://pathofexile.gamepedia.com/Jungle_Valley_Map","Jungle Valley Map")</f>
        <v>Jungle Valley Map</v>
      </c>
      <c r="C36" s="13">
        <v>529.0</v>
      </c>
      <c r="D36" s="10" t="str">
        <f>HYPERLINK("https://poechecklist.com/maps/jungle_valley.jpg","Layout/Tileset")</f>
        <v>Layout/Tileset</v>
      </c>
    </row>
    <row r="37">
      <c r="A37" s="24">
        <v>5.0</v>
      </c>
      <c r="B37" s="10" t="str">
        <f>HYPERLINK("https://pathofexile.gamepedia.com/Tropical_Island_Map","Tropical Island Map")</f>
        <v>Tropical Island Map</v>
      </c>
      <c r="C37" s="15">
        <v>493.0</v>
      </c>
      <c r="D37" s="10" t="str">
        <f>HYPERLINK("https://poechecklist.com/maps/tropical_island.jpg","Layout/Tileset")</f>
        <v>Layout/Tileset</v>
      </c>
    </row>
    <row r="38">
      <c r="A38" s="24">
        <v>5.0</v>
      </c>
      <c r="B38" s="10" t="str">
        <f>HYPERLINK("https://pathofexile.gamepedia.com/Spider_Lair_Map","Spider Lair Map")</f>
        <v>Spider Lair Map</v>
      </c>
      <c r="C38" s="15">
        <v>491.0</v>
      </c>
      <c r="D38" s="10" t="str">
        <f>HYPERLINK("https://poechecklist.com/maps/spider_lair.jpg","Layout/Tileset")</f>
        <v>Layout/Tileset</v>
      </c>
    </row>
    <row r="39">
      <c r="A39" s="24">
        <v>5.0</v>
      </c>
      <c r="B39" s="18" t="str">
        <f>HYPERLINK("https://pathofexile.gamepedia.com/Peninsula_Map","Peninsula Map")</f>
        <v>Peninsula Map</v>
      </c>
      <c r="C39" s="15">
        <v>480.0</v>
      </c>
      <c r="D39" s="10" t="str">
        <f>HYPERLINK("https://poechecklist.com/maps/peninsula.jpg","Layout/Tileset")</f>
        <v>Layout/Tileset</v>
      </c>
    </row>
    <row r="40">
      <c r="A40" s="24">
        <v>5.0</v>
      </c>
      <c r="B40" s="10" t="str">
        <f>HYPERLINK("https://pathofexile.gamepedia.com/Mesa_Map","Mesa Map")</f>
        <v>Mesa Map</v>
      </c>
      <c r="C40" s="22">
        <v>432.0</v>
      </c>
      <c r="D40" s="10" t="str">
        <f>HYPERLINK("https://poechecklist.com/maps/mesa.jpg","Layout/Tileset")</f>
        <v>Layout/Tileset</v>
      </c>
    </row>
    <row r="41">
      <c r="A41" s="24">
        <v>5.0</v>
      </c>
      <c r="B41" s="10" t="str">
        <f>HYPERLINK("https://pathofexile.gamepedia.com/Fungal_Hollow_Map","Fungal Hollow Map")</f>
        <v>Fungal Hollow Map</v>
      </c>
      <c r="C41" s="22">
        <v>409.0</v>
      </c>
      <c r="D41" s="10" t="str">
        <f>HYPERLINK("https://poechecklist.com/maps/fungal_hollow.jpg","Layout/Tileset")</f>
        <v>Layout/Tileset</v>
      </c>
    </row>
    <row r="42">
      <c r="A42" s="25">
        <v>6.0</v>
      </c>
      <c r="B42" s="10" t="str">
        <f>HYPERLINK("https://pathofexile.gamepedia.com/Cells_Map","Cells Map")</f>
        <v>Cells Map</v>
      </c>
      <c r="C42" s="17">
        <v>634.0</v>
      </c>
      <c r="D42" s="10" t="str">
        <f>HYPERLINK("https://poechecklist.com/maps/cells.jpg","Layout/Tileset")</f>
        <v>Layout/Tileset</v>
      </c>
    </row>
    <row r="43">
      <c r="A43" s="25">
        <v>6.0</v>
      </c>
      <c r="B43" s="10" t="str">
        <f>HYPERLINK("https://pathofexile.gamepedia.com/Ancient_City_Map","Ancient City Map")</f>
        <v>Ancient City Map</v>
      </c>
      <c r="C43" s="11">
        <v>580.0</v>
      </c>
      <c r="D43" s="10" t="str">
        <f>HYPERLINK("https://poechecklist.com/maps/ancient_city.jpg","Layout/Tileset")</f>
        <v>Layout/Tileset</v>
      </c>
    </row>
    <row r="44">
      <c r="A44" s="25">
        <v>6.0</v>
      </c>
      <c r="B44" s="10" t="str">
        <f>HYPERLINK("https://pathofexile.gamepedia.com/Maze_Map","Maze Map")</f>
        <v>Maze Map</v>
      </c>
      <c r="C44" s="13">
        <v>539.0</v>
      </c>
      <c r="D44" s="10" t="str">
        <f>HYPERLINK("https://poechecklist.com/maps/maze.jpg","Layout/Tileset")</f>
        <v>Layout/Tileset</v>
      </c>
    </row>
    <row r="45">
      <c r="A45" s="25">
        <v>6.0</v>
      </c>
      <c r="B45" s="10" t="str">
        <f>HYPERLINK("https://pathofexile.gamepedia.com/Overgrown_Ruin_Map","Overgrown Ruin Map")</f>
        <v>Overgrown Ruin Map</v>
      </c>
      <c r="C45" s="13">
        <v>538.0</v>
      </c>
      <c r="D45" s="10" t="str">
        <f>HYPERLINK("https://poechecklist.com/maps/overgrown_ruin.jpg","Layout/Tileset")</f>
        <v>Layout/Tileset</v>
      </c>
    </row>
    <row r="46">
      <c r="A46" s="25">
        <v>6.0</v>
      </c>
      <c r="B46" s="10" t="str">
        <f>HYPERLINK("https://pathofexile.gamepedia.com/Phantasmagoria_Map","Phantasmagoria Map")</f>
        <v>Phantasmagoria Map</v>
      </c>
      <c r="C46" s="13">
        <v>514.0</v>
      </c>
      <c r="D46" s="10" t="str">
        <f>HYPERLINK("https://poechecklist.com/maps/phantasmagoria.jpg","Layout/Tileset")</f>
        <v>Layout/Tileset</v>
      </c>
    </row>
    <row r="47">
      <c r="A47" s="25">
        <v>6.0</v>
      </c>
      <c r="B47" s="10" t="str">
        <f>HYPERLINK("https://pathofexile.gamepedia.com/Promenade_Map","Promenade Map")</f>
        <v>Promenade Map</v>
      </c>
      <c r="C47" s="15">
        <v>475.0</v>
      </c>
      <c r="D47" s="10" t="str">
        <f>HYPERLINK("https://poechecklist.com/maps/promenade.jpg","Layout/Tileset")</f>
        <v>Layout/Tileset</v>
      </c>
    </row>
    <row r="48">
      <c r="A48" s="25">
        <v>6.0</v>
      </c>
      <c r="B48" s="10" t="str">
        <f>HYPERLINK("https://pathofexile.gamepedia.com/Courtyard_Map","Courtyard Map")</f>
        <v>Courtyard Map</v>
      </c>
      <c r="C48" s="15">
        <v>461.0</v>
      </c>
      <c r="D48" s="10" t="str">
        <f>HYPERLINK("https://poechecklist.com/maps/courtyard.jpg","Layout/Tileset")</f>
        <v>Layout/Tileset</v>
      </c>
    </row>
    <row r="49">
      <c r="A49" s="25">
        <v>6.0</v>
      </c>
      <c r="B49" s="10" t="str">
        <f>HYPERLINK("https://pathofexile.gamepedia.com/Mud Geyser_Map","Mud Geyser Map")</f>
        <v>Mud Geyser Map</v>
      </c>
      <c r="C49" s="22">
        <v>441.0</v>
      </c>
      <c r="D49" s="10" t="str">
        <f>HYPERLINK("https://poechecklist.com/maps/mud_geyser.jpg","Layout/Tileset")</f>
        <v>Layout/Tileset</v>
      </c>
    </row>
    <row r="50">
      <c r="A50" s="25">
        <v>6.0</v>
      </c>
      <c r="B50" s="10" t="str">
        <f>HYPERLINK("https://pathofexile.gamepedia.com/Waste_Pool_Map","Waste Pool Map")</f>
        <v>Waste Pool Map</v>
      </c>
      <c r="C50" s="22">
        <v>438.0</v>
      </c>
      <c r="D50" s="10" t="str">
        <f>HYPERLINK("https://poechecklist.com/maps/waste_pool.jpg","Layout/Tileset")</f>
        <v>Layout/Tileset</v>
      </c>
    </row>
    <row r="51">
      <c r="A51" s="25">
        <v>6.0</v>
      </c>
      <c r="B51" s="10" t="str">
        <f>HYPERLINK("https://pathofexile.gamepedia.com/Primordial_Pool_Map","Primordial Pool Map")</f>
        <v>Primordial Pool Map</v>
      </c>
      <c r="C51" s="23">
        <v>395.0</v>
      </c>
      <c r="D51" s="10" t="str">
        <f>HYPERLINK("https://poechecklist.com/maps/primordial_pool.jpg","Layout/Tileset")</f>
        <v>Layout/Tileset</v>
      </c>
    </row>
    <row r="52">
      <c r="A52" s="25">
        <v>6.0</v>
      </c>
      <c r="B52" s="10" t="str">
        <f>HYPERLINK("https://pathofexile.gamepedia.com/Atoll_Map","Atoll Map")</f>
        <v>Atoll Map</v>
      </c>
      <c r="C52" s="23">
        <v>391.0</v>
      </c>
      <c r="D52" s="10" t="str">
        <f>HYPERLINK("https://poechecklist.com/maps/atoll.jpg","Layout/Tileset")</f>
        <v>Layout/Tileset</v>
      </c>
    </row>
    <row r="53">
      <c r="A53" s="26">
        <v>7.0</v>
      </c>
      <c r="B53" s="10" t="str">
        <f>HYPERLINK("https://pathofexile.gamepedia.com/Arena_Map","Arena Map")</f>
        <v>Arena Map</v>
      </c>
      <c r="C53" s="17">
        <v>636.0</v>
      </c>
      <c r="D53" s="10" t="str">
        <f>HYPERLINK("https://poechecklist.com/maps/arena.jpg","Layout/Tileset")</f>
        <v>Layout/Tileset</v>
      </c>
    </row>
    <row r="54">
      <c r="A54" s="26">
        <v>7.0</v>
      </c>
      <c r="B54" s="10" t="str">
        <f>HYPERLINK("https://pathofexile.gamepedia.com/Residence_Map","Residence Map")</f>
        <v>Residence Map</v>
      </c>
      <c r="C54" s="17">
        <v>623.0</v>
      </c>
      <c r="D54" s="10" t="str">
        <f>HYPERLINK("https://poechecklist.com/maps/residence.jpg","Layout/Tileset")</f>
        <v>Layout/Tileset</v>
      </c>
    </row>
    <row r="55">
      <c r="A55" s="26">
        <v>7.0</v>
      </c>
      <c r="B55" s="10" t="str">
        <f>HYPERLINK("https://pathofexile.gamepedia.com/Dungeon_Map","Dungeon Map")</f>
        <v>Dungeon Map</v>
      </c>
      <c r="C55" s="11">
        <v>563.0</v>
      </c>
      <c r="D55" s="10" t="str">
        <f>HYPERLINK("https://poechecklist.com/maps/dungeon.jpg","Layout/Tileset")</f>
        <v>Layout/Tileset</v>
      </c>
    </row>
    <row r="56">
      <c r="A56" s="26">
        <v>7.0</v>
      </c>
      <c r="B56" s="10" t="str">
        <f>HYPERLINK("https://pathofexile.gamepedia.com/Laboratory Map","Laboratory Map")</f>
        <v>Laboratory Map</v>
      </c>
      <c r="C56" s="13">
        <v>549.0</v>
      </c>
      <c r="D56" s="10" t="str">
        <f>HYPERLINK("https://poechecklist.com/maps/laboratory.jpg","Layout/Tileset")</f>
        <v>Layout/Tileset</v>
      </c>
    </row>
    <row r="57">
      <c r="A57" s="26">
        <v>7.0</v>
      </c>
      <c r="B57" s="10" t="str">
        <f>HYPERLINK("https://pathofexile.gamepedia.com/Conservatory_Map","Conservatory Map")</f>
        <v>Conservatory Map</v>
      </c>
      <c r="C57" s="13">
        <v>544.0</v>
      </c>
      <c r="D57" s="10" t="str">
        <f>HYPERLINK("https://poechecklist.com/maps/conservatory.jpg","Layout/Tileset")</f>
        <v>Layout/Tileset</v>
      </c>
    </row>
    <row r="58">
      <c r="A58" s="26">
        <v>7.0</v>
      </c>
      <c r="B58" s="10" t="str">
        <f>HYPERLINK("https://pathofexile.gamepedia.com/Waterways_Map","Waterways Map")</f>
        <v>Waterways Map</v>
      </c>
      <c r="C58" s="13">
        <v>543.0</v>
      </c>
      <c r="D58" s="10" t="str">
        <f>HYPERLINK("https://poechecklist.com/maps/waterways.jpg","Layout/Tileset")</f>
        <v>Layout/Tileset</v>
      </c>
    </row>
    <row r="59">
      <c r="A59" s="26">
        <v>7.0</v>
      </c>
      <c r="B59" s="10" t="str">
        <f>HYPERLINK("https://pathofexile.gamepedia.com/Graveyard_Map","Graveyard Map")</f>
        <v>Graveyard Map</v>
      </c>
      <c r="C59" s="13">
        <v>522.0</v>
      </c>
      <c r="D59" s="10" t="str">
        <f>HYPERLINK("https://poechecklist.com/maps/graveyard.jpg","Layout/Tileset")</f>
        <v>Layout/Tileset</v>
      </c>
    </row>
    <row r="60">
      <c r="A60" s="26">
        <v>7.0</v>
      </c>
      <c r="B60" s="10" t="str">
        <f>HYPERLINK("https://pathofexile.gamepedia.com/Overgrown_Shrine_Map","Overgrown Shrine Map")</f>
        <v>Overgrown Shrine Map</v>
      </c>
      <c r="C60" s="15">
        <v>490.0</v>
      </c>
      <c r="D60" s="10" t="str">
        <f>HYPERLINK("https://poechecklist.com/maps/overgrown_shrine.jpg","Layout/Tileset")</f>
        <v>Layout/Tileset</v>
      </c>
    </row>
    <row r="61">
      <c r="A61" s="26">
        <v>7.0</v>
      </c>
      <c r="B61" s="10" t="str">
        <f>HYPERLINK("https://pathofexile.gamepedia.com/Spider_Forest_Map","Spider Forest Map")</f>
        <v>Spider Forest Map</v>
      </c>
      <c r="C61" s="15">
        <v>474.0</v>
      </c>
      <c r="D61" s="10" t="str">
        <f>HYPERLINK("https://poechecklist.com/maps/spider_forest.jpg","Layout/Tileset")</f>
        <v>Layout/Tileset</v>
      </c>
    </row>
    <row r="62">
      <c r="A62" s="26">
        <v>7.0</v>
      </c>
      <c r="B62" s="10" t="str">
        <f>HYPERLINK("https://pathofexile.gamepedia.com/Vault_Map","Vault Map")</f>
        <v>Vault Map</v>
      </c>
      <c r="C62" s="15">
        <v>458.0</v>
      </c>
      <c r="D62" s="10" t="str">
        <f>HYPERLINK("https://poechecklist.com/maps/vault.jpg","Layout/Tileset")</f>
        <v>Layout/Tileset</v>
      </c>
    </row>
    <row r="63">
      <c r="A63" s="26">
        <v>7.0</v>
      </c>
      <c r="B63" s="10" t="str">
        <f>HYPERLINK("https://pathofexile.gamepedia.com/Racecourse_Map","Racecourse Map")</f>
        <v>Racecourse Map</v>
      </c>
      <c r="C63" s="22">
        <v>446.0</v>
      </c>
      <c r="D63" s="10" t="str">
        <f>HYPERLINK("https://poechecklist.com/maps/racecourse.jpg","Layout/Tileset")</f>
        <v>Layout/Tileset</v>
      </c>
    </row>
    <row r="64">
      <c r="A64" s="27">
        <v>8.0</v>
      </c>
      <c r="B64" s="10" t="str">
        <f>HYPERLINK("https://pathofexile.gamepedia.com/Pit_Map","Pit Map")</f>
        <v>Pit Map</v>
      </c>
      <c r="C64" s="17">
        <v>649.0</v>
      </c>
      <c r="D64" s="10" t="str">
        <f>HYPERLINK("https://poechecklist.com/maps/pit.jpg","Layout/Tileset")</f>
        <v>Layout/Tileset</v>
      </c>
    </row>
    <row r="65">
      <c r="A65" s="27">
        <v>8.0</v>
      </c>
      <c r="B65" s="10" t="str">
        <f>HYPERLINK("https://pathofexile.gamepedia.com/Necropolis Map","Necropolis Map")</f>
        <v>Necropolis Map</v>
      </c>
      <c r="C65" s="17">
        <v>601.0</v>
      </c>
      <c r="D65" s="10" t="str">
        <f>HYPERLINK("https://poechecklist.com/maps/necropolis.jpg","Layout/Tileset")</f>
        <v>Layout/Tileset</v>
      </c>
    </row>
    <row r="66">
      <c r="A66" s="27">
        <v>8.0</v>
      </c>
      <c r="B66" s="10" t="str">
        <f>HYPERLINK("https://pathofexile.gamepedia.com/Scriptorium_Map","Scriptorium Map")</f>
        <v>Scriptorium Map</v>
      </c>
      <c r="C66" s="11">
        <v>579.0</v>
      </c>
      <c r="D66" s="10" t="str">
        <f>HYPERLINK("https://poechecklist.com/maps/scriptorium.jpg","Layout/Tileset")</f>
        <v>Layout/Tileset</v>
      </c>
    </row>
    <row r="67">
      <c r="A67" s="27">
        <v>8.0</v>
      </c>
      <c r="B67" s="10" t="str">
        <f>HYPERLINK("https://pathofexile.gamepedia.com/Chateau_Map","Chateau Map")</f>
        <v>Chateau Map</v>
      </c>
      <c r="C67" s="11">
        <v>576.0</v>
      </c>
      <c r="D67" s="10" t="str">
        <f>HYPERLINK("https://poechecklist.com/maps/chateau.jpg","Layout/Tileset")</f>
        <v>Layout/Tileset</v>
      </c>
    </row>
    <row r="68">
      <c r="A68" s="27">
        <v>8.0</v>
      </c>
      <c r="B68" s="10" t="str">
        <f>HYPERLINK("https://pathofexile.gamepedia.com/Toxic_Sewer_Map","Toxic Sewer Map")</f>
        <v>Toxic Sewer Map</v>
      </c>
      <c r="C68" s="11">
        <v>567.0</v>
      </c>
      <c r="D68" s="10" t="str">
        <f>HYPERLINK("https://poechecklist.com/maps/toxic_sewer.jpg","Layout/Tileset")</f>
        <v>Layout/Tileset</v>
      </c>
    </row>
    <row r="69">
      <c r="A69" s="27">
        <v>8.0</v>
      </c>
      <c r="B69" s="10" t="str">
        <f>HYPERLINK("https://pathofexile.gamepedia.com/Factory Map","Factory Map")</f>
        <v>Factory Map</v>
      </c>
      <c r="C69" s="11">
        <v>557.0</v>
      </c>
      <c r="D69" s="10" t="str">
        <f>HYPERLINK("https://poechecklist.com/maps/factory.jpg","Layout/Tileset")</f>
        <v>Layout/Tileset</v>
      </c>
    </row>
    <row r="70">
      <c r="A70" s="27">
        <v>8.0</v>
      </c>
      <c r="B70" s="10" t="str">
        <f>HYPERLINK("https://pathofexile.gamepedia.com/Bone Crypt_Map","Bone Crypt Map")</f>
        <v>Bone Crypt Map</v>
      </c>
      <c r="C70" s="13">
        <v>546.0</v>
      </c>
      <c r="D70" s="10" t="str">
        <f>HYPERLINK("https://poechecklist.com/maps/bone_crypt.jpg","Layout/Tileset")</f>
        <v>Layout/Tileset</v>
      </c>
    </row>
    <row r="71">
      <c r="A71" s="27">
        <v>8.0</v>
      </c>
      <c r="B71" s="10" t="str">
        <f>HYPERLINK("https://pathofexile.gamepedia.com/Ghetto_Map","Ghetto Map")</f>
        <v>Ghetto Map</v>
      </c>
      <c r="C71" s="13">
        <v>536.0</v>
      </c>
      <c r="D71" s="10" t="str">
        <f>HYPERLINK("https://poechecklist.com/maps/ghetto.jpg","Layout/Tileset")</f>
        <v>Layout/Tileset</v>
      </c>
    </row>
    <row r="72">
      <c r="A72" s="27">
        <v>8.0</v>
      </c>
      <c r="B72" s="10" t="str">
        <f>HYPERLINK("https://pathofexile.gamepedia.com/Estuary_Map","Estuary Map")</f>
        <v>Estuary Map</v>
      </c>
      <c r="C72" s="13">
        <v>520.0</v>
      </c>
      <c r="D72" s="10" t="str">
        <f>HYPERLINK("https://poechecklist.com/maps/estuary.jpg","Layout/Tileset")</f>
        <v>Layout/Tileset</v>
      </c>
    </row>
    <row r="73">
      <c r="A73" s="27">
        <v>8.0</v>
      </c>
      <c r="B73" s="10" t="str">
        <f>HYPERLINK("https://pathofexile.gamepedia.com/Dunes_Map","Dunes Map")</f>
        <v>Dunes Map</v>
      </c>
      <c r="C73" s="15">
        <v>460.0</v>
      </c>
      <c r="D73" s="10" t="str">
        <f>HYPERLINK("https://poechecklist.com/maps/dunes.jpg","Layout/Tileset")</f>
        <v>Layout/Tileset</v>
      </c>
    </row>
    <row r="74">
      <c r="A74" s="27">
        <v>8.0</v>
      </c>
      <c r="B74" s="10" t="str">
        <f>HYPERLINK("https://pathofexile.gamepedia.com/Iceberg_Map","Iceberg Map")</f>
        <v>Iceberg Map</v>
      </c>
      <c r="C74" s="15">
        <v>458.0</v>
      </c>
      <c r="D74" s="10" t="str">
        <f>HYPERLINK("https://poechecklist.com/maps/iceberg.jpg","Layout/Tileset")</f>
        <v>Layout/Tileset</v>
      </c>
    </row>
    <row r="75">
      <c r="A75" s="28">
        <v>9.0</v>
      </c>
      <c r="B75" s="10" t="str">
        <f>HYPERLINK("https://pathofexile.gamepedia.com/Arsenal_Map","Arsenal Map")</f>
        <v>Arsenal Map</v>
      </c>
      <c r="C75" s="17">
        <v>658.0</v>
      </c>
      <c r="D75" s="10" t="str">
        <f>HYPERLINK("https://poechecklist.com/maps/arsenal.jpg","Layout/Tileset")</f>
        <v>Layout/Tileset</v>
      </c>
    </row>
    <row r="76">
      <c r="A76" s="28">
        <v>9.0</v>
      </c>
      <c r="B76" s="10" t="str">
        <f>HYPERLINK("https://pathofexile.gamepedia.com/Villa_Map","Villa Map")</f>
        <v>Villa Map</v>
      </c>
      <c r="C76" s="17">
        <v>632.0</v>
      </c>
      <c r="D76" s="10" t="str">
        <f>HYPERLINK("https://poechecklist.com/maps/villa.jpg","Layout/Tileset")</f>
        <v>Layout/Tileset</v>
      </c>
    </row>
    <row r="77">
      <c r="A77" s="28">
        <v>9.0</v>
      </c>
      <c r="B77" s="10" t="str">
        <f>HYPERLINK("https://pathofexile.gamepedia.com/Underground_Sea_Map","Underground Sea Map")</f>
        <v>Underground Sea Map</v>
      </c>
      <c r="C77" s="17">
        <v>614.0</v>
      </c>
      <c r="D77" s="10" t="str">
        <f>HYPERLINK("https://poechecklist.com/maps/underground_sea.jpg","Layout/Tileset")</f>
        <v>Layout/Tileset</v>
      </c>
    </row>
    <row r="78">
      <c r="A78" s="28">
        <v>9.0</v>
      </c>
      <c r="B78" s="10" t="str">
        <f>HYPERLINK("https://pathofexile.gamepedia.com/Moon_Temple_Map","Moon Temple Map")</f>
        <v>Moon Temple Map</v>
      </c>
      <c r="C78" s="17">
        <v>602.0</v>
      </c>
      <c r="D78" s="10" t="str">
        <f>HYPERLINK("https://poechecklist.com/maps/moon_temple.jpg","Layout/Tileset")</f>
        <v>Layout/Tileset</v>
      </c>
    </row>
    <row r="79">
      <c r="A79" s="28">
        <v>9.0</v>
      </c>
      <c r="B79" s="10" t="str">
        <f>HYPERLINK("https://pathofexile.gamepedia.com/Port_Map","Port Map")</f>
        <v>Port Map</v>
      </c>
      <c r="C79" s="11">
        <v>567.0</v>
      </c>
      <c r="D79" s="10" t="str">
        <f>HYPERLINK("https://poechecklist.com/maps/port.jpg","Layout/Tileset")</f>
        <v>Layout/Tileset</v>
      </c>
    </row>
    <row r="80">
      <c r="A80" s="28">
        <v>9.0</v>
      </c>
      <c r="B80" s="10" t="str">
        <f>HYPERLINK("https://pathofexile.gamepedia.com/Castle_Ruins_Map","Castle Ruins Map")</f>
        <v>Castle Ruins Map</v>
      </c>
      <c r="C80" s="11">
        <v>555.0</v>
      </c>
      <c r="D80" s="10" t="str">
        <f>HYPERLINK("https://poechecklist.com/maps/castle_ruins.jpg","Layout/Tileset")</f>
        <v>Layout/Tileset</v>
      </c>
    </row>
    <row r="81">
      <c r="A81" s="28">
        <v>9.0</v>
      </c>
      <c r="B81" s="10" t="str">
        <f>HYPERLINK("https://pathofexile.gamepedia.com/Arachnid_Nest_Map","Arachnid Nest Map")</f>
        <v>Arachnid Nest Map</v>
      </c>
      <c r="C81" s="13">
        <v>520.0</v>
      </c>
      <c r="D81" s="10" t="str">
        <f>HYPERLINK("https://poechecklist.com/maps/arachnid_nest.jpg","Layout/Tileset")</f>
        <v>Layout/Tileset</v>
      </c>
    </row>
    <row r="82">
      <c r="A82" s="28">
        <v>9.0</v>
      </c>
      <c r="B82" s="10" t="str">
        <f>HYPERLINK("https://pathofexile.gamepedia.com/Mineral_Pools_Map","Mineral Pools Map")</f>
        <v>Mineral Pools Map</v>
      </c>
      <c r="C82" s="13">
        <v>516.0</v>
      </c>
      <c r="D82" s="10" t="str">
        <f>HYPERLINK("https://poechecklist.com/maps/mineral_pools.jpg","Layout/Tileset")</f>
        <v>Layout/Tileset</v>
      </c>
    </row>
    <row r="83">
      <c r="A83" s="28">
        <v>9.0</v>
      </c>
      <c r="B83" s="10" t="str">
        <f>HYPERLINK("https://pathofexile.gamepedia.com/Lighthouse_Map","Lighthouse Map")</f>
        <v>Lighthouse Map</v>
      </c>
      <c r="C83" s="13">
        <v>513.0</v>
      </c>
      <c r="D83" s="10" t="str">
        <f>HYPERLINK("https://poechecklist.com/maps/lighthouse.jpg","Layout/Tileset")</f>
        <v>Layout/Tileset</v>
      </c>
    </row>
    <row r="84">
      <c r="A84" s="28">
        <v>9.0</v>
      </c>
      <c r="B84" s="10" t="str">
        <f>HYPERLINK("https://pathofexile.gamepedia.com/Underground_River_Map","Underground River Map")</f>
        <v>Underground River Map</v>
      </c>
      <c r="C84" s="15">
        <v>468.0</v>
      </c>
      <c r="D84" s="10" t="str">
        <f>HYPERLINK("https://poechecklist.com/maps/underground_river.jpg","Layout/Tileset")</f>
        <v>Layout/Tileset</v>
      </c>
    </row>
    <row r="85">
      <c r="A85" s="28">
        <v>9.0</v>
      </c>
      <c r="B85" s="10" t="str">
        <f>HYPERLINK("https://pathofexile.gamepedia.com/Shore_Map","Shore Map")</f>
        <v>Shore Map</v>
      </c>
      <c r="C85" s="15">
        <v>467.0</v>
      </c>
      <c r="D85" s="10" t="str">
        <f>HYPERLINK("https://poechecklist.com/maps/shore.jpg","Layout/Tileset")</f>
        <v>Layout/Tileset</v>
      </c>
    </row>
    <row r="86">
      <c r="A86" s="29">
        <v>10.0</v>
      </c>
      <c r="B86" s="10" t="str">
        <f>HYPERLINK("https://pathofexile.gamepedia.com/Bazaar_Map","Bazaar Map")</f>
        <v>Bazaar Map</v>
      </c>
      <c r="C86" s="17">
        <v>656.0</v>
      </c>
      <c r="D86" s="10" t="str">
        <f>HYPERLINK("https://poechecklist.com/maps/bazaar.jpg","Layout/Tileset")</f>
        <v>Layout/Tileset</v>
      </c>
    </row>
    <row r="87">
      <c r="A87" s="29">
        <v>10.0</v>
      </c>
      <c r="B87" s="10" t="str">
        <f>HYPERLINK("https://pathofexile.gamepedia.com/Temple_Map","Temple Map")</f>
        <v>Temple Map</v>
      </c>
      <c r="C87" s="11">
        <v>588.0</v>
      </c>
      <c r="D87" s="10" t="str">
        <f>HYPERLINK("https://poechecklist.com/maps/temple.jpg","Layout/Tileset")</f>
        <v>Layout/Tileset</v>
      </c>
    </row>
    <row r="88">
      <c r="A88" s="29">
        <v>10.0</v>
      </c>
      <c r="B88" s="10" t="str">
        <f>HYPERLINK("https://pathofexile.gamepedia.com/Volcano_Map","Volcano Map")</f>
        <v>Volcano Map</v>
      </c>
      <c r="C88" s="11">
        <v>555.0</v>
      </c>
      <c r="D88" s="10" t="str">
        <f>HYPERLINK("https://poechecklist.com/maps/volcano.jpg","Layout/Tileset")</f>
        <v>Layout/Tileset</v>
      </c>
    </row>
    <row r="89">
      <c r="A89" s="29">
        <v>10.0</v>
      </c>
      <c r="B89" s="10" t="str">
        <f>HYPERLINK("https://pathofexile.gamepedia.com/Academy_Map","Academy Map")</f>
        <v>Academy Map</v>
      </c>
      <c r="C89" s="11">
        <v>551.0</v>
      </c>
      <c r="D89" s="10" t="str">
        <f>HYPERLINK("https://poechecklist.com/maps/academy.jpg","Layout/Tileset")</f>
        <v>Layout/Tileset</v>
      </c>
    </row>
    <row r="90">
      <c r="A90" s="29">
        <v>10.0</v>
      </c>
      <c r="B90" s="10" t="str">
        <f>HYPERLINK("https://pathofexile.gamepedia.com/Coral_Ruins_Map","Coral Ruins Map")</f>
        <v>Coral Ruins Map</v>
      </c>
      <c r="C90" s="13">
        <v>535.0</v>
      </c>
      <c r="D90" s="10" t="str">
        <f>HYPERLINK("https://poechecklist.com/maps/coral_ruins.jpg","Layout/Tileset")</f>
        <v>Layout/Tileset</v>
      </c>
    </row>
    <row r="91">
      <c r="A91" s="29">
        <v>10.0</v>
      </c>
      <c r="B91" s="10" t="str">
        <f>HYPERLINK("https://pathofexile.gamepedia.com/Geode_Map","Geode Map")</f>
        <v>Geode Map</v>
      </c>
      <c r="C91" s="13">
        <v>527.0</v>
      </c>
      <c r="D91" s="10" t="str">
        <f>HYPERLINK("https://poechecklist.com/maps/geode.jpg","Layout/Tileset")</f>
        <v>Layout/Tileset</v>
      </c>
    </row>
    <row r="92">
      <c r="A92" s="29">
        <v>10.0</v>
      </c>
      <c r="B92" s="10" t="str">
        <f>HYPERLINK("https://pathofexile.gamepedia.com/Lava_Chamber_Map","Lava Chamber Map")</f>
        <v>Lava Chamber Map</v>
      </c>
      <c r="C92" s="15">
        <v>489.0</v>
      </c>
      <c r="D92" s="10" t="str">
        <f>HYPERLINK("https://poechecklist.com/maps/lava_chamber.jpg","Layout/Tileset")</f>
        <v>Layout/Tileset</v>
      </c>
    </row>
    <row r="93">
      <c r="A93" s="29">
        <v>10.0</v>
      </c>
      <c r="B93" s="10" t="str">
        <f>HYPERLINK("https://pathofexile.gamepedia.com/Sepulchre_Map","Sepulchre Map")</f>
        <v>Sepulchre Map</v>
      </c>
      <c r="C93" s="15">
        <v>476.0</v>
      </c>
      <c r="D93" s="10" t="str">
        <f>HYPERLINK("https://poechecklist.com/maps/sepulchre.jpg","Layout/Tileset")</f>
        <v>Layout/Tileset</v>
      </c>
    </row>
    <row r="94">
      <c r="A94" s="29">
        <v>10.0</v>
      </c>
      <c r="B94" s="10" t="str">
        <f>HYPERLINK("https://pathofexile.gamepedia.com/Bog_Map","Bog Map")</f>
        <v>Bog Map</v>
      </c>
      <c r="C94" s="15">
        <v>461.0</v>
      </c>
      <c r="D94" s="10" t="str">
        <f>HYPERLINK("https://poechecklist.com/maps/bog.jpg","Layout/Tileset")</f>
        <v>Layout/Tileset</v>
      </c>
    </row>
    <row r="95">
      <c r="A95" s="29">
        <v>10.0</v>
      </c>
      <c r="B95" s="10" t="str">
        <f>HYPERLINK("https://pathofexile.gamepedia.com/Plateau_Map","Plateau Map")</f>
        <v>Plateau Map</v>
      </c>
      <c r="C95" s="22">
        <v>442.0</v>
      </c>
      <c r="D95" s="10" t="str">
        <f>HYPERLINK("https://poechecklist.com/maps/plateau.jpg","Layout/Tileset")</f>
        <v>Layout/Tileset</v>
      </c>
    </row>
    <row r="96">
      <c r="A96" s="30">
        <v>11.0</v>
      </c>
      <c r="B96" s="10" t="str">
        <f>HYPERLINK("https://pathofexile.gamepedia.com/Precinct_Map","Precinct Map")</f>
        <v>Precinct Map</v>
      </c>
      <c r="C96" s="17">
        <v>644.0</v>
      </c>
      <c r="D96" s="10" t="str">
        <f>HYPERLINK("https://poechecklist.com/maps/precinct.jpg","Layout/Tileset")</f>
        <v>Layout/Tileset</v>
      </c>
    </row>
    <row r="97">
      <c r="A97" s="30">
        <v>11.0</v>
      </c>
      <c r="B97" s="10" t="str">
        <f>HYPERLINK("https://pathofexile.gamepedia.com/Siege_Map","Siege Map")</f>
        <v>Siege Map</v>
      </c>
      <c r="C97" s="17">
        <v>604.0</v>
      </c>
      <c r="D97" s="10" t="str">
        <f>HYPERLINK("https://poechecklist.com/maps/siege.jpg","Layout/Tileset")</f>
        <v>Layout/Tileset</v>
      </c>
    </row>
    <row r="98">
      <c r="A98" s="30">
        <v>11.0</v>
      </c>
      <c r="B98" s="10" t="str">
        <f>HYPERLINK("https://pathofexile.gamepedia.com/Museum_Map","Museum Map")</f>
        <v>Museum Map</v>
      </c>
      <c r="C98" s="17">
        <v>603.0</v>
      </c>
      <c r="D98" s="10" t="str">
        <f>HYPERLINK("https://poechecklist.com/maps/museum.jpg","Layout/Tileset")</f>
        <v>Layout/Tileset</v>
      </c>
    </row>
    <row r="99">
      <c r="A99" s="30">
        <v>11.0</v>
      </c>
      <c r="B99" s="10" t="str">
        <f>HYPERLINK("https://pathofexile.gamepedia.com/Gardens_Map","Gardens Map")</f>
        <v>Gardens Map</v>
      </c>
      <c r="C99" s="11">
        <v>596.0</v>
      </c>
      <c r="D99" s="10" t="str">
        <f>HYPERLINK("https://poechecklist.com/maps/gardens.jpg","Layout/Tileset")</f>
        <v>Layout/Tileset</v>
      </c>
    </row>
    <row r="100">
      <c r="A100" s="30">
        <v>11.0</v>
      </c>
      <c r="B100" s="10" t="str">
        <f>HYPERLINK("https://pathofexile.gamepedia.com/Lair_Map","Lair Map")</f>
        <v>Lair Map</v>
      </c>
      <c r="C100" s="11">
        <v>582.0</v>
      </c>
      <c r="D100" s="10" t="str">
        <f>HYPERLINK("https://poechecklist.com/maps/lair.jpg","Layout/Tileset")</f>
        <v>Layout/Tileset</v>
      </c>
    </row>
    <row r="101">
      <c r="A101" s="30">
        <v>11.0</v>
      </c>
      <c r="B101" s="10" t="str">
        <f>HYPERLINK("https://pathofexile.gamepedia.com/Colonnade_Map","Colonnade Map")</f>
        <v>Colonnade Map</v>
      </c>
      <c r="C101" s="11">
        <v>571.0</v>
      </c>
      <c r="D101" s="10" t="str">
        <f>HYPERLINK("https://poechecklist.com/maps/colonnade.jpg","Layout/Tileset")</f>
        <v>Layout/Tileset</v>
      </c>
    </row>
    <row r="102">
      <c r="A102" s="30">
        <v>11.0</v>
      </c>
      <c r="B102" s="10" t="str">
        <f>HYPERLINK("https://pathofexile.gamepedia.com/Malformation_Map","Malformation Map")</f>
        <v>Malformation Map</v>
      </c>
      <c r="C102" s="11">
        <v>550.0</v>
      </c>
      <c r="D102" s="10" t="str">
        <f>HYPERLINK("https://poechecklist.com/maps/malformation.jpg","Layout/Tileset")</f>
        <v>Layout/Tileset</v>
      </c>
    </row>
    <row r="103">
      <c r="A103" s="30">
        <v>11.0</v>
      </c>
      <c r="B103" s="10" t="str">
        <f>HYPERLINK("https://pathofexile.gamepedia.com/Infested_ValleyMap","Infested Valley Map")</f>
        <v>Infested Valley Map</v>
      </c>
      <c r="C103" s="13">
        <v>545.0</v>
      </c>
      <c r="D103" s="10" t="str">
        <f>HYPERLINK("https://poechecklist.com/maps/infested_valley.jpg","Layout/Tileset")</f>
        <v>Layout/Tileset</v>
      </c>
    </row>
    <row r="104">
      <c r="A104" s="30">
        <v>11.0</v>
      </c>
      <c r="B104" s="10" t="str">
        <f>HYPERLINK("https://pathofexile.gamepedia.com/Dig_Map","Dig Map")</f>
        <v>Dig Map</v>
      </c>
      <c r="C104" s="13">
        <v>503.0</v>
      </c>
      <c r="D104" s="10" t="str">
        <f>HYPERLINK("https://poechecklist.com/maps/dig.jpg","Layout/Tileset")</f>
        <v>Layout/Tileset</v>
      </c>
    </row>
    <row r="105">
      <c r="A105" s="30">
        <v>11.0</v>
      </c>
      <c r="B105" s="10" t="str">
        <f>HYPERLINK("https://pathofexile.gamepedia.com/Crimson_Temple_Map","Crimson Temple Map")</f>
        <v>Crimson Temple Map</v>
      </c>
      <c r="C105" s="15">
        <v>489.0</v>
      </c>
      <c r="D105" s="10" t="str">
        <f>HYPERLINK("https://poechecklist.com/maps/crimson_temple.jpg","Layout/Tileset")</f>
        <v>Layout/Tileset</v>
      </c>
    </row>
    <row r="106">
      <c r="A106" s="31">
        <v>12.0</v>
      </c>
      <c r="B106" s="10" t="str">
        <f>HYPERLINK("https://pathofexile.gamepedia.com/Colosseum_Map","Colosseum Map")</f>
        <v>Colosseum Map</v>
      </c>
      <c r="C106" s="17">
        <v>671.0</v>
      </c>
      <c r="D106" s="10" t="str">
        <f>HYPERLINK("https://poechecklist.com/maps/colosseum.jpg","Layout/Tileset")</f>
        <v>Layout/Tileset</v>
      </c>
    </row>
    <row r="107">
      <c r="A107" s="31">
        <v>12.0</v>
      </c>
      <c r="B107" s="10" t="str">
        <f>HYPERLINK("https://pathofexile.gamepedia.com/Vaal_Pyramid_Map","Vaal Pyramid Map")</f>
        <v>Vaal Pyramid Map</v>
      </c>
      <c r="C107" s="11">
        <v>591.0</v>
      </c>
      <c r="D107" s="10" t="str">
        <f>HYPERLINK("https://poechecklist.com/maps/vaal_pyramid.jpg","Layout/Tileset")</f>
        <v>Layout/Tileset</v>
      </c>
    </row>
    <row r="108">
      <c r="A108" s="31">
        <v>12.0</v>
      </c>
      <c r="B108" s="10" t="str">
        <f>HYPERLINK("https://pathofexile.gamepedia.com/Carcass_Map","Carcass Map")</f>
        <v>Carcass Map</v>
      </c>
      <c r="C108" s="11">
        <v>570.0</v>
      </c>
      <c r="D108" s="10" t="str">
        <f>HYPERLINK("https://poechecklist.com/maps/carcass.jpg","Layout/Tileset")</f>
        <v>Layout/Tileset</v>
      </c>
    </row>
    <row r="109">
      <c r="A109" s="31">
        <v>12.0</v>
      </c>
      <c r="B109" s="10" t="str">
        <f>HYPERLINK("https://pathofexile.gamepedia.com/Lava_LakeA_Map","Lava Lake Map")</f>
        <v>Lava Lake Map</v>
      </c>
      <c r="C109" s="11">
        <v>553.0</v>
      </c>
      <c r="D109" s="10" t="str">
        <f>HYPERLINK("https://poechecklist.com/maps/lava_lake.jpg","Layout/Tileset")</f>
        <v>Layout/Tileset</v>
      </c>
    </row>
    <row r="110">
      <c r="A110" s="31">
        <v>12.0</v>
      </c>
      <c r="B110" s="10" t="str">
        <f>HYPERLINK("https://pathofexile.gamepedia.com/Core_Map","Core Map")</f>
        <v>Core Map</v>
      </c>
      <c r="C110" s="13">
        <v>519.0</v>
      </c>
      <c r="D110" s="10" t="str">
        <f>HYPERLINK("https://poechecklist.com/maps/core.jpg","Layout/Tileset")</f>
        <v>Layout/Tileset</v>
      </c>
    </row>
    <row r="111">
      <c r="A111" s="31">
        <v>12.0</v>
      </c>
      <c r="B111" s="10" t="str">
        <f>HYPERLINK("https://pathofexile.gamepedia.com/Cemetery_Map","Cemetery Map")</f>
        <v>Cemetery Map</v>
      </c>
      <c r="C111" s="15">
        <v>491.0</v>
      </c>
      <c r="D111" s="10" t="str">
        <f>HYPERLINK("https://poechecklist.com/maps/cemetery.jpg","Layout/Tileset")</f>
        <v>Layout/Tileset</v>
      </c>
    </row>
    <row r="112">
      <c r="A112" s="31">
        <v>12.0</v>
      </c>
      <c r="B112" s="10" t="str">
        <f>HYPERLINK("https://pathofexile.gamepedia.com/Park_Map","Park Map")</f>
        <v>Park Map</v>
      </c>
      <c r="C112" s="15">
        <v>473.0</v>
      </c>
      <c r="D112" s="10" t="str">
        <f>HYPERLINK("https://poechecklist.com/maps/park.jpg","Layout/Tileset")</f>
        <v>Layout/Tileset</v>
      </c>
    </row>
    <row r="113">
      <c r="A113" s="31">
        <v>12.0</v>
      </c>
      <c r="B113" s="10" t="str">
        <f>HYPERLINK("https://pathofexile.gamepedia.com/Shipyard_Map","Shipyard Map")</f>
        <v>Shipyard Map</v>
      </c>
      <c r="C113" s="15">
        <v>468.0</v>
      </c>
      <c r="D113" s="10" t="str">
        <f>HYPERLINK("https://poechecklist.com/maps/shipyard.jpg","Layout/Tileset")</f>
        <v>Layout/Tileset</v>
      </c>
    </row>
    <row r="114">
      <c r="A114" s="31">
        <v>12.0</v>
      </c>
      <c r="B114" s="10" t="str">
        <f>HYPERLINK("https://pathofexile.gamepedia.com/Canyon_Map","Canyon Map")</f>
        <v>Canyon Map</v>
      </c>
      <c r="C114" s="15">
        <v>462.0</v>
      </c>
      <c r="D114" s="10" t="str">
        <f>HYPERLINK("https://poechecklist.com/maps/canyon.jpg","Layout/Tileset")</f>
        <v>Layout/Tileset</v>
      </c>
    </row>
    <row r="115">
      <c r="A115" s="32">
        <v>13.0</v>
      </c>
      <c r="B115" s="10" t="str">
        <f>HYPERLINK("https://pathofexile.gamepedia.com/Shrine_Map","Shrine Map")</f>
        <v>Shrine Map</v>
      </c>
      <c r="C115" s="17">
        <v>662.0</v>
      </c>
      <c r="D115" s="10" t="str">
        <f>HYPERLINK("https://poechecklist.com/maps/shrine.jpg","Layout/Tileset")</f>
        <v>Layout/Tileset</v>
      </c>
    </row>
    <row r="116">
      <c r="A116" s="32">
        <v>13.0</v>
      </c>
      <c r="B116" s="10" t="str">
        <f>HYPERLINK("https://pathofexile.gamepedia.com/Tower_Map","Tower Map")</f>
        <v>Tower Map</v>
      </c>
      <c r="C116" s="17">
        <v>628.0</v>
      </c>
      <c r="D116" s="10" t="str">
        <f>HYPERLINK("https://poechecklist.com/maps/tower.jpg","Layout/Tileset")</f>
        <v>Layout/Tileset</v>
      </c>
    </row>
    <row r="117">
      <c r="A117" s="32">
        <v>13.0</v>
      </c>
      <c r="B117" s="10" t="str">
        <f>HYPERLINK("https://pathofexile.gamepedia.com/Plaza_Map","Plaza Map")</f>
        <v>Plaza Map</v>
      </c>
      <c r="C117" s="11">
        <v>554.0</v>
      </c>
      <c r="D117" s="10" t="str">
        <f>HYPERLINK("https://poechecklist.com/maps/plaza.jpg","Layout/Tileset")</f>
        <v>Layout/Tileset</v>
      </c>
    </row>
    <row r="118">
      <c r="A118" s="32">
        <v>13.0</v>
      </c>
      <c r="B118" s="10" t="str">
        <f>HYPERLINK("https://pathofexile.gamepedia.com/Sunken_City_Map","Sunken City Map")</f>
        <v>Sunken City Map</v>
      </c>
      <c r="C118" s="11">
        <v>551.0</v>
      </c>
      <c r="D118" s="10" t="str">
        <f>HYPERLINK("https://poechecklist.com/maps/sunken_city.jpg","Layout/Tileset")</f>
        <v>Layout/Tileset</v>
      </c>
    </row>
    <row r="119">
      <c r="A119" s="32">
        <v>13.0</v>
      </c>
      <c r="B119" s="10" t="str">
        <f>HYPERLINK("https://pathofexile.gamepedia.com/Terrace_Map","Terrace Map")</f>
        <v>Terrace Map</v>
      </c>
      <c r="C119" s="13">
        <v>540.0</v>
      </c>
      <c r="D119" s="10" t="str">
        <f>HYPERLINK("https://poechecklist.com/maps/terrace.jpg","Layout/Tileset")</f>
        <v>Layout/Tileset</v>
      </c>
    </row>
    <row r="120">
      <c r="A120" s="32">
        <v>13.0</v>
      </c>
      <c r="B120" s="10" t="str">
        <f>HYPERLINK("https://pathofexile.gamepedia.com/Belfry_Map","Belfry Map")</f>
        <v>Belfry Map</v>
      </c>
      <c r="C120" s="13">
        <v>527.0</v>
      </c>
      <c r="D120" s="10" t="str">
        <f>HYPERLINK("https://poechecklist.com/maps/belfry.jpg","Layout/Tileset")</f>
        <v>Layout/Tileset</v>
      </c>
    </row>
    <row r="121">
      <c r="A121" s="32">
        <v>13.0</v>
      </c>
      <c r="B121" s="10" t="str">
        <f>HYPERLINK("https://pathofexile.gamepedia.com/Reef_Map","Reef Map")</f>
        <v>Reef Map</v>
      </c>
      <c r="C121" s="13">
        <v>512.0</v>
      </c>
      <c r="D121" s="10" t="str">
        <f>HYPERLINK("https://poechecklist.com/maps/reef.jpg","Layout/Tileset")</f>
        <v>Layout/Tileset</v>
      </c>
    </row>
    <row r="122">
      <c r="A122" s="32">
        <v>13.0</v>
      </c>
      <c r="B122" s="10" t="str">
        <f>HYPERLINK("https://pathofexile.gamepedia.com/Defiled Cathedral_Map","Defiled Cathedral Map")</f>
        <v>Defiled Cathedral Map</v>
      </c>
      <c r="C122" s="13">
        <v>511.0</v>
      </c>
      <c r="D122" s="10" t="str">
        <f>HYPERLINK("https://poechecklist.com/maps/defiled_cathedral.jpg","Layout/Tileset")</f>
        <v>Layout/Tileset</v>
      </c>
    </row>
    <row r="123">
      <c r="A123" s="32">
        <v>13.0</v>
      </c>
      <c r="B123" s="10" t="str">
        <f>HYPERLINK("https://pathofexile.gamepedia.com/Coves_Map","Coves Map")</f>
        <v>Coves Map</v>
      </c>
      <c r="C123" s="15">
        <v>487.0</v>
      </c>
      <c r="D123" s="10" t="str">
        <f>HYPERLINK("https://poechecklist.com/maps/coves.jpg","Layout/Tileset")</f>
        <v>Layout/Tileset</v>
      </c>
    </row>
    <row r="124">
      <c r="A124" s="33">
        <v>14.0</v>
      </c>
      <c r="B124" s="10" t="str">
        <f>HYPERLINK("https://pathofexile.gamepedia.com/Orchard_Map","Orchard Map")</f>
        <v>Orchard Map</v>
      </c>
      <c r="C124" s="17">
        <v>641.0</v>
      </c>
      <c r="D124" s="34" t="str">
        <f>HYPERLINK("https://poechecklist.com/maps/orchard.jpg","Layout/Tileset")</f>
        <v>Layout/Tileset</v>
      </c>
    </row>
    <row r="125">
      <c r="A125" s="33">
        <v>14.0</v>
      </c>
      <c r="B125" s="10" t="str">
        <f>HYPERLINK("https://pathofexile.gamepedia.com/Primordial_Blocks_Map","Primordial Blocks Map")</f>
        <v>Primordial Blocks Map</v>
      </c>
      <c r="C125" s="17">
        <v>639.0</v>
      </c>
      <c r="D125" s="10" t="str">
        <f>HYPERLINK("https://poechecklist.com/maps/primordial_blocks.jpg","Layout/Tileset")</f>
        <v>Layout/Tileset</v>
      </c>
    </row>
    <row r="126">
      <c r="A126" s="33">
        <v>14.0</v>
      </c>
      <c r="B126" s="10" t="str">
        <f>HYPERLINK("https://pathofexile.gamepedia.com/Crystal_Ore_Map","Crystal Ore Map")</f>
        <v>Crystal Ore Map</v>
      </c>
      <c r="C126" s="17">
        <v>603.0</v>
      </c>
      <c r="D126" s="10" t="str">
        <f>HYPERLINK("https://poechecklist.com/maps/crystal_ore.jpg","Layout/Tileset")</f>
        <v>Layout/Tileset</v>
      </c>
    </row>
    <row r="127">
      <c r="A127" s="33">
        <v>14.0</v>
      </c>
      <c r="B127" s="10" t="str">
        <f>HYPERLINK("https://pathofexile.gamepedia.com/Wasteland_Map","Wasteland Map")</f>
        <v>Wasteland Map</v>
      </c>
      <c r="C127" s="11">
        <v>559.0</v>
      </c>
      <c r="D127" s="10" t="str">
        <f>HYPERLINK("https://poechecklist.com/maps/wasteland.jpg","Layout/Tileset")</f>
        <v>Layout/Tileset</v>
      </c>
    </row>
    <row r="128">
      <c r="A128" s="33">
        <v>14.0</v>
      </c>
      <c r="B128" s="10" t="str">
        <f>HYPERLINK("https://pathofexile.gamepedia.com/Basilica_Map","Basilica Map")</f>
        <v>Basilica Map</v>
      </c>
      <c r="C128" s="13">
        <v>532.0</v>
      </c>
      <c r="D128" s="10" t="str">
        <f>HYPERLINK("https://poechecklist.com/maps/basilica.jpg","Layout/Tileset")</f>
        <v>Layout/Tileset</v>
      </c>
    </row>
    <row r="129">
      <c r="A129" s="33">
        <v>14.0</v>
      </c>
      <c r="B129" s="10" t="str">
        <f>HYPERLINK("https://pathofexile.gamepedia.com/Courthouse_Map","Courthouse Map")</f>
        <v>Courthouse Map</v>
      </c>
      <c r="C129" s="13">
        <v>504.0</v>
      </c>
      <c r="D129" s="10" t="str">
        <f>HYPERLINK("https://poechecklist.com/maps/courthouse.jpg","Layout/Tileset")</f>
        <v>Layout/Tileset</v>
      </c>
    </row>
    <row r="130">
      <c r="A130" s="33">
        <v>14.0</v>
      </c>
      <c r="B130" s="10" t="str">
        <f>HYPERLINK("https://pathofexile.gamepedia.com/Dark Forest_Map","Dark Forest Map")</f>
        <v>Dark Forest Map</v>
      </c>
      <c r="C130" s="15">
        <v>499.0</v>
      </c>
      <c r="D130" s="10" t="str">
        <f>HYPERLINK("https://poechecklist.com/maps/dark_forest.jpg","Layout/Tileset")</f>
        <v>Layout/Tileset</v>
      </c>
    </row>
    <row r="131">
      <c r="A131" s="35">
        <v>15.0</v>
      </c>
      <c r="B131" s="10" t="str">
        <f>HYPERLINK("https://pathofexile.gamepedia.com/Desert_Springs_Map","Desert Springs Map")</f>
        <v>Desert Springs Map</v>
      </c>
      <c r="C131" s="17">
        <v>793.0</v>
      </c>
      <c r="D131" s="10" t="str">
        <f>HYPERLINK("https://poechecklist.com/maps/desert_spring.jpg","Layout/Tileset")</f>
        <v>Layout/Tileset</v>
      </c>
    </row>
    <row r="132">
      <c r="A132" s="35">
        <v>15.0</v>
      </c>
      <c r="B132" s="10" t="str">
        <f>HYPERLINK("https://pathofexile.gamepedia.com/Palace_Map","Palace Map")</f>
        <v>Palace Map</v>
      </c>
      <c r="C132" s="17">
        <v>660.0</v>
      </c>
      <c r="D132" s="10" t="str">
        <f>HYPERLINK("https://poechecklist.com/maps/palace.jpg","Layout/Tileset")</f>
        <v>Layout/Tileset</v>
      </c>
    </row>
    <row r="133">
      <c r="A133" s="35">
        <v>15.0</v>
      </c>
      <c r="B133" s="10" t="str">
        <f>HYPERLINK("https://pathofexile.gamepedia.com/Acid_Caverns_Map","Acid Caverns Map")</f>
        <v>Acid Caverns Map</v>
      </c>
      <c r="C133" s="17">
        <v>606.0</v>
      </c>
      <c r="D133" s="10" t="str">
        <f>HYPERLINK("https://poechecklist.com/maps/acid_caverns.jpg","Layout/Tileset")</f>
        <v>Layout/Tileset</v>
      </c>
    </row>
    <row r="134">
      <c r="A134" s="35">
        <v>15.0</v>
      </c>
      <c r="B134" s="10" t="str">
        <f>HYPERLINK("https://pathofexile.gamepedia.com/Caldera_Map","Caldera Map")</f>
        <v>Caldera Map</v>
      </c>
      <c r="C134" s="13">
        <v>532.0</v>
      </c>
      <c r="D134" s="10" t="str">
        <f>HYPERLINK("https://poechecklist.com/maps/caldera.jpg","Layout/Tileset")</f>
        <v>Layout/Tileset</v>
      </c>
    </row>
    <row r="135">
      <c r="A135" s="35">
        <v>15.0</v>
      </c>
      <c r="B135" s="10" t="str">
        <f>HYPERLINK("https://pathofexile.gamepedia.com/Summit_Map","Summit Map")</f>
        <v>Summit Map</v>
      </c>
      <c r="C135" s="13">
        <v>503.0</v>
      </c>
      <c r="D135" s="10" t="str">
        <f>HYPERLINK("https://poechecklist.com/maps/summit.jpg","Layout/Tileset")</f>
        <v>Layout/Tileset</v>
      </c>
    </row>
    <row r="136">
      <c r="A136" s="36">
        <v>16.0</v>
      </c>
      <c r="B136" s="10" t="str">
        <f>HYPERLINK("https://pathofexile.gamepedia.com/Vaal_Temple_Map","Vaal Temple Map")</f>
        <v>Vaal Temple Map</v>
      </c>
      <c r="C136" s="37" t="s">
        <v>2</v>
      </c>
      <c r="D136" s="10" t="str">
        <f>HYPERLINK("https://poechecklist.com/maps/vaal_temple.jpg","Layout/Tileset")</f>
        <v>Layout/Tileset</v>
      </c>
    </row>
    <row r="137">
      <c r="A137" s="36">
        <v>16.0</v>
      </c>
      <c r="B137" s="10" t="str">
        <f>HYPERLINK("https://pathofexile.gamepedia.com/Pit_of_the_Chimera_Map","Pit of the Chimera Map")</f>
        <v>Pit of the Chimera Map</v>
      </c>
      <c r="C137" s="11">
        <v>585.0</v>
      </c>
      <c r="D137" s="10" t="str">
        <f>HYPERLINK("https://poechecklist.com/maps/pit_of_the_chimera.jpg","Layout/Tileset")</f>
        <v>Layout/Tileset</v>
      </c>
    </row>
    <row r="138">
      <c r="A138" s="36">
        <v>16.0</v>
      </c>
      <c r="B138" s="10" t="str">
        <f>HYPERLINK("https://pathofexile.gamepedia.com/Forge_of_the_Phoenix_Map","Forge of the Phoenix Map")</f>
        <v>Forge of the Phoenix Map</v>
      </c>
      <c r="C138" s="13">
        <v>514.0</v>
      </c>
      <c r="D138" s="10" t="str">
        <f>HYPERLINK("https://poechecklist.com/maps/forge_of_the_phoenix.jpg","Layout/Tileset")</f>
        <v>Layout/Tileset</v>
      </c>
    </row>
    <row r="139">
      <c r="A139" s="36">
        <v>16.0</v>
      </c>
      <c r="B139" s="10" t="str">
        <f>HYPERLINK("https://pathofexile.gamepedia.com/Lair_of_the_Hydra_Map","Lair of the Hydra Map")</f>
        <v>Lair of the Hydra Map</v>
      </c>
      <c r="C139" s="15">
        <v>497.0</v>
      </c>
      <c r="D139" s="10" t="str">
        <f>HYPERLINK("https://poechecklist.com/maps/lair_of_the_hydra.jpg","Layout/Tileset")</f>
        <v>Layout/Tileset</v>
      </c>
    </row>
    <row r="140">
      <c r="A140" s="36">
        <v>16.0</v>
      </c>
      <c r="B140" s="10" t="str">
        <f>HYPERLINK("https://pathofexile.gamepedia.com/Maze_of_the_Minotaur_Map","Maze of the Minotaur Map")</f>
        <v>Maze of the Minotaur Map</v>
      </c>
      <c r="C140" s="15">
        <v>489.0</v>
      </c>
      <c r="D140" s="10" t="str">
        <f>HYPERLINK("https://poechecklist.com/maps/maze_of_the_minotaur.jpg","Layout/Tileset")</f>
        <v>Layout/Tileset</v>
      </c>
    </row>
    <row r="141">
      <c r="A141" s="38"/>
      <c r="B141" s="39"/>
      <c r="C141" s="5"/>
      <c r="D141" s="40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</row>
    <row r="142">
      <c r="C142" s="42"/>
    </row>
    <row r="143">
      <c r="C143" s="42"/>
    </row>
    <row r="144">
      <c r="C144" s="42"/>
    </row>
    <row r="145">
      <c r="C145" s="42"/>
    </row>
    <row r="146">
      <c r="C146" s="42"/>
    </row>
    <row r="147">
      <c r="C147" s="42"/>
    </row>
    <row r="148">
      <c r="C148" s="42"/>
    </row>
    <row r="149">
      <c r="C149" s="42"/>
    </row>
    <row r="150">
      <c r="C150" s="42"/>
    </row>
    <row r="151">
      <c r="C151" s="42"/>
    </row>
    <row r="152">
      <c r="C152" s="42"/>
    </row>
    <row r="153">
      <c r="C153" s="42"/>
    </row>
    <row r="154">
      <c r="C154" s="42"/>
    </row>
    <row r="155">
      <c r="C155" s="42"/>
    </row>
    <row r="156">
      <c r="C156" s="42"/>
    </row>
    <row r="157">
      <c r="C157" s="42"/>
    </row>
    <row r="158">
      <c r="C158" s="42"/>
    </row>
    <row r="159">
      <c r="C159" s="42"/>
    </row>
    <row r="160">
      <c r="C160" s="42"/>
    </row>
    <row r="161">
      <c r="C161" s="42"/>
    </row>
    <row r="162">
      <c r="C162" s="42"/>
    </row>
    <row r="163">
      <c r="C163" s="42"/>
    </row>
    <row r="164">
      <c r="C164" s="42"/>
    </row>
    <row r="165">
      <c r="C165" s="42"/>
    </row>
    <row r="166">
      <c r="C166" s="42"/>
    </row>
    <row r="167">
      <c r="C167" s="42"/>
    </row>
    <row r="168">
      <c r="C168" s="42"/>
    </row>
    <row r="169">
      <c r="C169" s="42"/>
    </row>
    <row r="170">
      <c r="C170" s="42"/>
    </row>
    <row r="171">
      <c r="C171" s="42"/>
    </row>
    <row r="172">
      <c r="C172" s="42"/>
    </row>
    <row r="173">
      <c r="C173" s="42"/>
    </row>
    <row r="174">
      <c r="C174" s="42"/>
    </row>
    <row r="175">
      <c r="C175" s="42"/>
    </row>
    <row r="176">
      <c r="C176" s="42"/>
    </row>
    <row r="177">
      <c r="C177" s="42"/>
    </row>
    <row r="178">
      <c r="C178" s="42"/>
    </row>
    <row r="179">
      <c r="C179" s="42"/>
    </row>
    <row r="180">
      <c r="C180" s="42"/>
    </row>
    <row r="181">
      <c r="C181" s="42"/>
    </row>
    <row r="182">
      <c r="C182" s="42"/>
    </row>
    <row r="183">
      <c r="C183" s="42"/>
    </row>
    <row r="184">
      <c r="C184" s="42"/>
    </row>
    <row r="185">
      <c r="C185" s="42"/>
    </row>
    <row r="186">
      <c r="C186" s="42"/>
    </row>
    <row r="187">
      <c r="C187" s="42"/>
    </row>
    <row r="188">
      <c r="C188" s="42"/>
    </row>
    <row r="189">
      <c r="C189" s="42"/>
    </row>
    <row r="190">
      <c r="C190" s="42"/>
    </row>
    <row r="191">
      <c r="C191" s="42"/>
    </row>
    <row r="192">
      <c r="C192" s="42"/>
    </row>
    <row r="193">
      <c r="C193" s="42"/>
    </row>
    <row r="194">
      <c r="C194" s="42"/>
    </row>
    <row r="195">
      <c r="C195" s="42"/>
    </row>
    <row r="196">
      <c r="C196" s="42"/>
    </row>
    <row r="197">
      <c r="C197" s="42"/>
    </row>
    <row r="198">
      <c r="C198" s="42"/>
    </row>
    <row r="199">
      <c r="C199" s="42"/>
    </row>
    <row r="200">
      <c r="C200" s="42"/>
    </row>
    <row r="201">
      <c r="C201" s="42"/>
    </row>
    <row r="202">
      <c r="C202" s="42"/>
    </row>
    <row r="203">
      <c r="C203" s="42"/>
    </row>
    <row r="204">
      <c r="C204" s="42"/>
    </row>
    <row r="205">
      <c r="C205" s="42"/>
    </row>
    <row r="206">
      <c r="C206" s="42"/>
    </row>
    <row r="207">
      <c r="C207" s="42"/>
    </row>
    <row r="208">
      <c r="C208" s="42"/>
    </row>
    <row r="209">
      <c r="C209" s="42"/>
    </row>
    <row r="210">
      <c r="C210" s="42"/>
    </row>
    <row r="211">
      <c r="C211" s="42"/>
    </row>
    <row r="212">
      <c r="C212" s="42"/>
    </row>
    <row r="213">
      <c r="C213" s="42"/>
    </row>
    <row r="214">
      <c r="C214" s="42"/>
    </row>
    <row r="215">
      <c r="C215" s="42"/>
    </row>
    <row r="216">
      <c r="C216" s="42"/>
    </row>
    <row r="217">
      <c r="C217" s="42"/>
    </row>
    <row r="218">
      <c r="C218" s="42"/>
    </row>
    <row r="219">
      <c r="C219" s="42"/>
    </row>
    <row r="220">
      <c r="C220" s="42"/>
    </row>
    <row r="221">
      <c r="C221" s="42"/>
    </row>
    <row r="222">
      <c r="C222" s="42"/>
    </row>
    <row r="223">
      <c r="C223" s="42"/>
    </row>
    <row r="224">
      <c r="C224" s="42"/>
    </row>
    <row r="225">
      <c r="C225" s="42"/>
    </row>
    <row r="226">
      <c r="C226" s="42"/>
    </row>
    <row r="227">
      <c r="C227" s="42"/>
    </row>
    <row r="228">
      <c r="C228" s="42"/>
    </row>
    <row r="229">
      <c r="C229" s="42"/>
    </row>
    <row r="230">
      <c r="C230" s="42"/>
    </row>
    <row r="231">
      <c r="C231" s="42"/>
    </row>
    <row r="232">
      <c r="C232" s="42"/>
    </row>
    <row r="233">
      <c r="C233" s="42"/>
    </row>
    <row r="234">
      <c r="C234" s="42"/>
    </row>
    <row r="235">
      <c r="C235" s="42"/>
    </row>
    <row r="236">
      <c r="C236" s="42"/>
    </row>
    <row r="237">
      <c r="C237" s="42"/>
    </row>
    <row r="238">
      <c r="C238" s="42"/>
    </row>
    <row r="239">
      <c r="C239" s="42"/>
    </row>
    <row r="240">
      <c r="C240" s="42"/>
    </row>
    <row r="241">
      <c r="C241" s="42"/>
    </row>
    <row r="242">
      <c r="C242" s="42"/>
    </row>
    <row r="243">
      <c r="C243" s="42"/>
    </row>
    <row r="244">
      <c r="C244" s="42"/>
    </row>
    <row r="245">
      <c r="C245" s="42"/>
    </row>
    <row r="246">
      <c r="C246" s="42"/>
    </row>
    <row r="247">
      <c r="C247" s="42"/>
    </row>
    <row r="248">
      <c r="C248" s="42"/>
    </row>
    <row r="249">
      <c r="C249" s="42"/>
    </row>
    <row r="250">
      <c r="C250" s="42"/>
    </row>
    <row r="251">
      <c r="C251" s="42"/>
    </row>
    <row r="252">
      <c r="C252" s="42"/>
    </row>
    <row r="253">
      <c r="C253" s="42"/>
    </row>
    <row r="254">
      <c r="C254" s="42"/>
    </row>
    <row r="255">
      <c r="C255" s="42"/>
    </row>
    <row r="256">
      <c r="C256" s="42"/>
    </row>
    <row r="257">
      <c r="C257" s="42"/>
    </row>
    <row r="258">
      <c r="C258" s="42"/>
    </row>
    <row r="259">
      <c r="C259" s="42"/>
    </row>
    <row r="260">
      <c r="C260" s="42"/>
    </row>
    <row r="261">
      <c r="C261" s="42"/>
    </row>
    <row r="262">
      <c r="C262" s="42"/>
    </row>
    <row r="263">
      <c r="C263" s="42"/>
    </row>
    <row r="264">
      <c r="C264" s="42"/>
    </row>
    <row r="265">
      <c r="C265" s="42"/>
    </row>
    <row r="266">
      <c r="C266" s="42"/>
    </row>
    <row r="267">
      <c r="C267" s="42"/>
    </row>
    <row r="268">
      <c r="C268" s="42"/>
    </row>
    <row r="269">
      <c r="C269" s="42"/>
    </row>
    <row r="270">
      <c r="C270" s="42"/>
    </row>
    <row r="271">
      <c r="C271" s="42"/>
    </row>
    <row r="272">
      <c r="C272" s="42"/>
    </row>
    <row r="273">
      <c r="C273" s="42"/>
    </row>
    <row r="274">
      <c r="C274" s="42"/>
    </row>
    <row r="275">
      <c r="C275" s="42"/>
    </row>
    <row r="276">
      <c r="C276" s="42"/>
    </row>
    <row r="277">
      <c r="C277" s="42"/>
    </row>
    <row r="278">
      <c r="C278" s="42"/>
    </row>
    <row r="279">
      <c r="C279" s="42"/>
    </row>
    <row r="280">
      <c r="C280" s="42"/>
    </row>
    <row r="281">
      <c r="C281" s="42"/>
    </row>
    <row r="282">
      <c r="C282" s="42"/>
    </row>
    <row r="283">
      <c r="C283" s="42"/>
    </row>
    <row r="284">
      <c r="C284" s="42"/>
    </row>
    <row r="285">
      <c r="C285" s="42"/>
    </row>
    <row r="286">
      <c r="C286" s="42"/>
    </row>
    <row r="287">
      <c r="C287" s="42"/>
    </row>
    <row r="288">
      <c r="C288" s="42"/>
    </row>
    <row r="289">
      <c r="C289" s="42"/>
    </row>
    <row r="290">
      <c r="C290" s="42"/>
    </row>
    <row r="291">
      <c r="C291" s="42"/>
    </row>
    <row r="292">
      <c r="C292" s="42"/>
    </row>
    <row r="293">
      <c r="C293" s="42"/>
    </row>
    <row r="294">
      <c r="C294" s="42"/>
    </row>
    <row r="295">
      <c r="C295" s="42"/>
    </row>
    <row r="296">
      <c r="C296" s="42"/>
    </row>
    <row r="297">
      <c r="C297" s="42"/>
    </row>
    <row r="298">
      <c r="C298" s="42"/>
    </row>
    <row r="299">
      <c r="C299" s="42"/>
    </row>
    <row r="300">
      <c r="C300" s="42"/>
    </row>
    <row r="301">
      <c r="C301" s="42"/>
    </row>
    <row r="302">
      <c r="C302" s="42"/>
    </row>
    <row r="303">
      <c r="C303" s="42"/>
    </row>
    <row r="304">
      <c r="C304" s="42"/>
    </row>
    <row r="305">
      <c r="C305" s="42"/>
    </row>
    <row r="306">
      <c r="C306" s="42"/>
    </row>
    <row r="307">
      <c r="C307" s="42"/>
    </row>
    <row r="308">
      <c r="C308" s="42"/>
    </row>
    <row r="309">
      <c r="C309" s="42"/>
    </row>
    <row r="310">
      <c r="C310" s="42"/>
    </row>
    <row r="311">
      <c r="C311" s="42"/>
    </row>
    <row r="312">
      <c r="C312" s="42"/>
    </row>
    <row r="313">
      <c r="C313" s="42"/>
    </row>
    <row r="314">
      <c r="C314" s="42"/>
    </row>
    <row r="315">
      <c r="C315" s="42"/>
    </row>
    <row r="316">
      <c r="C316" s="42"/>
    </row>
    <row r="317">
      <c r="C317" s="42"/>
    </row>
    <row r="318">
      <c r="C318" s="42"/>
    </row>
    <row r="319">
      <c r="C319" s="42"/>
    </row>
    <row r="320">
      <c r="C320" s="42"/>
    </row>
    <row r="321">
      <c r="C321" s="42"/>
    </row>
    <row r="322">
      <c r="C322" s="42"/>
    </row>
    <row r="323">
      <c r="C323" s="42"/>
    </row>
    <row r="324">
      <c r="C324" s="42"/>
    </row>
    <row r="325">
      <c r="C325" s="42"/>
    </row>
    <row r="326">
      <c r="C326" s="42"/>
    </row>
    <row r="327">
      <c r="C327" s="42"/>
    </row>
    <row r="328">
      <c r="C328" s="42"/>
    </row>
    <row r="329">
      <c r="C329" s="42"/>
    </row>
    <row r="330">
      <c r="C330" s="42"/>
    </row>
    <row r="331">
      <c r="C331" s="42"/>
    </row>
    <row r="332">
      <c r="C332" s="42"/>
    </row>
    <row r="333">
      <c r="C333" s="42"/>
    </row>
    <row r="334">
      <c r="C334" s="42"/>
    </row>
    <row r="335">
      <c r="C335" s="42"/>
    </row>
    <row r="336">
      <c r="C336" s="42"/>
    </row>
    <row r="337">
      <c r="C337" s="42"/>
    </row>
    <row r="338">
      <c r="C338" s="42"/>
    </row>
    <row r="339">
      <c r="C339" s="42"/>
    </row>
    <row r="340">
      <c r="C340" s="42"/>
    </row>
    <row r="341">
      <c r="C341" s="42"/>
    </row>
    <row r="342">
      <c r="C342" s="42"/>
    </row>
    <row r="343">
      <c r="C343" s="42"/>
    </row>
    <row r="344">
      <c r="C344" s="42"/>
    </row>
    <row r="345">
      <c r="C345" s="42"/>
    </row>
    <row r="346">
      <c r="C346" s="42"/>
    </row>
    <row r="347">
      <c r="C347" s="42"/>
    </row>
    <row r="348">
      <c r="C348" s="42"/>
    </row>
    <row r="349">
      <c r="C349" s="42"/>
    </row>
    <row r="350">
      <c r="C350" s="42"/>
    </row>
    <row r="351">
      <c r="C351" s="42"/>
    </row>
    <row r="352">
      <c r="C352" s="42"/>
    </row>
    <row r="353">
      <c r="C353" s="42"/>
    </row>
    <row r="354">
      <c r="C354" s="42"/>
    </row>
    <row r="355">
      <c r="C355" s="42"/>
    </row>
    <row r="356">
      <c r="C356" s="42"/>
    </row>
    <row r="357">
      <c r="C357" s="42"/>
    </row>
    <row r="358">
      <c r="C358" s="42"/>
    </row>
    <row r="359">
      <c r="C359" s="42"/>
    </row>
    <row r="360">
      <c r="C360" s="42"/>
    </row>
    <row r="361">
      <c r="C361" s="42"/>
    </row>
    <row r="362">
      <c r="C362" s="42"/>
    </row>
    <row r="363">
      <c r="C363" s="42"/>
    </row>
    <row r="364">
      <c r="C364" s="42"/>
    </row>
    <row r="365">
      <c r="C365" s="42"/>
    </row>
    <row r="366">
      <c r="C366" s="42"/>
    </row>
    <row r="367">
      <c r="C367" s="42"/>
    </row>
    <row r="368">
      <c r="C368" s="42"/>
    </row>
    <row r="369">
      <c r="C369" s="42"/>
    </row>
    <row r="370">
      <c r="C370" s="42"/>
    </row>
    <row r="371">
      <c r="C371" s="42"/>
    </row>
    <row r="372">
      <c r="C372" s="42"/>
    </row>
    <row r="373">
      <c r="C373" s="42"/>
    </row>
    <row r="374">
      <c r="C374" s="42"/>
    </row>
    <row r="375">
      <c r="C375" s="42"/>
    </row>
    <row r="376">
      <c r="C376" s="42"/>
    </row>
    <row r="377">
      <c r="C377" s="42"/>
    </row>
    <row r="378">
      <c r="C378" s="42"/>
    </row>
    <row r="379">
      <c r="C379" s="42"/>
    </row>
    <row r="380">
      <c r="C380" s="42"/>
    </row>
    <row r="381">
      <c r="C381" s="42"/>
    </row>
    <row r="382">
      <c r="C382" s="42"/>
    </row>
    <row r="383">
      <c r="C383" s="42"/>
    </row>
    <row r="384">
      <c r="C384" s="42"/>
    </row>
    <row r="385">
      <c r="C385" s="42"/>
    </row>
    <row r="386">
      <c r="C386" s="42"/>
    </row>
    <row r="387">
      <c r="C387" s="42"/>
    </row>
    <row r="388">
      <c r="C388" s="42"/>
    </row>
    <row r="389">
      <c r="C389" s="42"/>
    </row>
    <row r="390">
      <c r="C390" s="42"/>
    </row>
    <row r="391">
      <c r="C391" s="42"/>
    </row>
    <row r="392">
      <c r="C392" s="42"/>
    </row>
    <row r="393">
      <c r="C393" s="42"/>
    </row>
    <row r="394">
      <c r="C394" s="42"/>
    </row>
    <row r="395">
      <c r="C395" s="42"/>
    </row>
    <row r="396">
      <c r="C396" s="42"/>
    </row>
    <row r="397">
      <c r="C397" s="42"/>
    </row>
    <row r="398">
      <c r="C398" s="42"/>
    </row>
    <row r="399">
      <c r="C399" s="42"/>
    </row>
    <row r="400">
      <c r="C400" s="42"/>
    </row>
    <row r="401">
      <c r="C401" s="42"/>
    </row>
    <row r="402">
      <c r="C402" s="42"/>
    </row>
    <row r="403">
      <c r="C403" s="42"/>
    </row>
    <row r="404">
      <c r="C404" s="42"/>
    </row>
    <row r="405">
      <c r="C405" s="42"/>
    </row>
    <row r="406">
      <c r="C406" s="42"/>
    </row>
    <row r="407">
      <c r="C407" s="42"/>
    </row>
    <row r="408">
      <c r="C408" s="42"/>
    </row>
    <row r="409">
      <c r="C409" s="42"/>
    </row>
    <row r="410">
      <c r="C410" s="42"/>
    </row>
    <row r="411">
      <c r="C411" s="42"/>
    </row>
    <row r="412">
      <c r="C412" s="42"/>
    </row>
    <row r="413">
      <c r="C413" s="42"/>
    </row>
    <row r="414">
      <c r="C414" s="42"/>
    </row>
    <row r="415">
      <c r="C415" s="42"/>
    </row>
    <row r="416">
      <c r="C416" s="42"/>
    </row>
    <row r="417">
      <c r="C417" s="42"/>
    </row>
    <row r="418">
      <c r="C418" s="42"/>
    </row>
    <row r="419">
      <c r="C419" s="42"/>
    </row>
    <row r="420">
      <c r="C420" s="42"/>
    </row>
    <row r="421">
      <c r="C421" s="42"/>
    </row>
    <row r="422">
      <c r="C422" s="42"/>
    </row>
    <row r="423">
      <c r="C423" s="42"/>
    </row>
    <row r="424">
      <c r="C424" s="42"/>
    </row>
    <row r="425">
      <c r="C425" s="42"/>
    </row>
    <row r="426">
      <c r="C426" s="42"/>
    </row>
    <row r="427">
      <c r="C427" s="42"/>
    </row>
    <row r="428">
      <c r="C428" s="42"/>
    </row>
    <row r="429">
      <c r="C429" s="42"/>
    </row>
    <row r="430">
      <c r="C430" s="42"/>
    </row>
    <row r="431">
      <c r="C431" s="42"/>
    </row>
    <row r="432">
      <c r="C432" s="42"/>
    </row>
    <row r="433">
      <c r="C433" s="42"/>
    </row>
    <row r="434">
      <c r="C434" s="42"/>
    </row>
    <row r="435">
      <c r="C435" s="42"/>
    </row>
    <row r="436">
      <c r="C436" s="42"/>
    </row>
    <row r="437">
      <c r="C437" s="42"/>
    </row>
    <row r="438">
      <c r="C438" s="42"/>
    </row>
    <row r="439">
      <c r="C439" s="42"/>
    </row>
    <row r="440">
      <c r="C440" s="42"/>
    </row>
    <row r="441">
      <c r="C441" s="42"/>
    </row>
    <row r="442">
      <c r="C442" s="42"/>
    </row>
    <row r="443">
      <c r="C443" s="42"/>
    </row>
    <row r="444">
      <c r="C444" s="42"/>
    </row>
    <row r="445">
      <c r="C445" s="42"/>
    </row>
    <row r="446">
      <c r="C446" s="42"/>
    </row>
    <row r="447">
      <c r="C447" s="42"/>
    </row>
    <row r="448">
      <c r="C448" s="42"/>
    </row>
    <row r="449">
      <c r="C449" s="42"/>
    </row>
    <row r="450">
      <c r="C450" s="42"/>
    </row>
    <row r="451">
      <c r="C451" s="42"/>
    </row>
    <row r="452">
      <c r="C452" s="42"/>
    </row>
    <row r="453">
      <c r="C453" s="42"/>
    </row>
    <row r="454">
      <c r="C454" s="42"/>
    </row>
    <row r="455">
      <c r="C455" s="42"/>
    </row>
    <row r="456">
      <c r="C456" s="42"/>
    </row>
    <row r="457">
      <c r="C457" s="42"/>
    </row>
    <row r="458">
      <c r="C458" s="42"/>
    </row>
    <row r="459">
      <c r="C459" s="42"/>
    </row>
    <row r="460">
      <c r="C460" s="42"/>
    </row>
    <row r="461">
      <c r="C461" s="42"/>
    </row>
    <row r="462">
      <c r="C462" s="42"/>
    </row>
    <row r="463">
      <c r="C463" s="42"/>
    </row>
    <row r="464">
      <c r="C464" s="42"/>
    </row>
    <row r="465">
      <c r="C465" s="42"/>
    </row>
    <row r="466">
      <c r="C466" s="42"/>
    </row>
    <row r="467">
      <c r="C467" s="42"/>
    </row>
    <row r="468">
      <c r="C468" s="42"/>
    </row>
    <row r="469">
      <c r="C469" s="42"/>
    </row>
    <row r="470">
      <c r="C470" s="42"/>
    </row>
    <row r="471">
      <c r="C471" s="42"/>
    </row>
    <row r="472">
      <c r="C472" s="42"/>
    </row>
    <row r="473">
      <c r="C473" s="42"/>
    </row>
    <row r="474">
      <c r="C474" s="42"/>
    </row>
    <row r="475">
      <c r="C475" s="42"/>
    </row>
    <row r="476">
      <c r="C476" s="42"/>
    </row>
    <row r="477">
      <c r="C477" s="42"/>
    </row>
    <row r="478">
      <c r="C478" s="42"/>
    </row>
    <row r="479">
      <c r="C479" s="42"/>
    </row>
    <row r="480">
      <c r="C480" s="42"/>
    </row>
    <row r="481">
      <c r="C481" s="42"/>
    </row>
    <row r="482">
      <c r="C482" s="42"/>
    </row>
    <row r="483">
      <c r="C483" s="42"/>
    </row>
    <row r="484">
      <c r="C484" s="42"/>
    </row>
    <row r="485">
      <c r="C485" s="42"/>
    </row>
    <row r="486">
      <c r="C486" s="42"/>
    </row>
    <row r="487">
      <c r="C487" s="42"/>
    </row>
    <row r="488">
      <c r="C488" s="42"/>
    </row>
    <row r="489">
      <c r="C489" s="42"/>
    </row>
    <row r="490">
      <c r="C490" s="42"/>
    </row>
    <row r="491">
      <c r="C491" s="42"/>
    </row>
    <row r="492">
      <c r="C492" s="42"/>
    </row>
    <row r="493">
      <c r="C493" s="42"/>
    </row>
    <row r="494">
      <c r="C494" s="42"/>
    </row>
    <row r="495">
      <c r="C495" s="42"/>
    </row>
    <row r="496">
      <c r="C496" s="42"/>
    </row>
    <row r="497">
      <c r="C497" s="42"/>
    </row>
    <row r="498">
      <c r="C498" s="42"/>
    </row>
    <row r="499">
      <c r="C499" s="42"/>
    </row>
    <row r="500">
      <c r="C500" s="42"/>
    </row>
    <row r="501">
      <c r="C501" s="42"/>
    </row>
    <row r="502">
      <c r="C502" s="42"/>
    </row>
    <row r="503">
      <c r="C503" s="42"/>
    </row>
    <row r="504">
      <c r="C504" s="42"/>
    </row>
    <row r="505">
      <c r="C505" s="42"/>
    </row>
    <row r="506">
      <c r="C506" s="42"/>
    </row>
    <row r="507">
      <c r="C507" s="42"/>
    </row>
    <row r="508">
      <c r="C508" s="42"/>
    </row>
    <row r="509">
      <c r="C509" s="42"/>
    </row>
    <row r="510">
      <c r="C510" s="42"/>
    </row>
    <row r="511">
      <c r="C511" s="42"/>
    </row>
    <row r="512">
      <c r="C512" s="42"/>
    </row>
    <row r="513">
      <c r="C513" s="42"/>
    </row>
    <row r="514">
      <c r="C514" s="42"/>
    </row>
    <row r="515">
      <c r="C515" s="42"/>
    </row>
    <row r="516">
      <c r="C516" s="42"/>
    </row>
    <row r="517">
      <c r="C517" s="42"/>
    </row>
    <row r="518">
      <c r="C518" s="42"/>
    </row>
    <row r="519">
      <c r="C519" s="42"/>
    </row>
    <row r="520">
      <c r="C520" s="42"/>
    </row>
    <row r="521">
      <c r="C521" s="42"/>
    </row>
    <row r="522">
      <c r="C522" s="42"/>
    </row>
    <row r="523">
      <c r="C523" s="42"/>
    </row>
    <row r="524">
      <c r="C524" s="42"/>
    </row>
    <row r="525">
      <c r="C525" s="42"/>
    </row>
    <row r="526">
      <c r="C526" s="42"/>
    </row>
    <row r="527">
      <c r="C527" s="42"/>
    </row>
    <row r="528">
      <c r="C528" s="42"/>
    </row>
    <row r="529">
      <c r="C529" s="42"/>
    </row>
    <row r="530">
      <c r="C530" s="42"/>
    </row>
    <row r="531">
      <c r="C531" s="42"/>
    </row>
    <row r="532">
      <c r="C532" s="42"/>
    </row>
    <row r="533">
      <c r="C533" s="42"/>
    </row>
    <row r="534">
      <c r="C534" s="42"/>
    </row>
    <row r="535">
      <c r="C535" s="42"/>
    </row>
    <row r="536">
      <c r="C536" s="42"/>
    </row>
    <row r="537">
      <c r="C537" s="42"/>
    </row>
    <row r="538">
      <c r="C538" s="42"/>
    </row>
    <row r="539">
      <c r="C539" s="42"/>
    </row>
    <row r="540">
      <c r="C540" s="42"/>
    </row>
    <row r="541">
      <c r="C541" s="42"/>
    </row>
    <row r="542">
      <c r="C542" s="42"/>
    </row>
    <row r="543">
      <c r="C543" s="42"/>
    </row>
    <row r="544">
      <c r="C544" s="42"/>
    </row>
    <row r="545">
      <c r="C545" s="42"/>
    </row>
    <row r="546">
      <c r="C546" s="42"/>
    </row>
    <row r="547">
      <c r="C547" s="42"/>
    </row>
    <row r="548">
      <c r="C548" s="42"/>
    </row>
    <row r="549">
      <c r="C549" s="42"/>
    </row>
    <row r="550">
      <c r="C550" s="42"/>
    </row>
    <row r="551">
      <c r="C551" s="42"/>
    </row>
    <row r="552">
      <c r="C552" s="42"/>
    </row>
    <row r="553">
      <c r="C553" s="42"/>
    </row>
    <row r="554">
      <c r="C554" s="42"/>
    </row>
    <row r="555">
      <c r="C555" s="42"/>
    </row>
    <row r="556">
      <c r="C556" s="42"/>
    </row>
    <row r="557">
      <c r="C557" s="42"/>
    </row>
    <row r="558">
      <c r="C558" s="42"/>
    </row>
    <row r="559">
      <c r="C559" s="42"/>
    </row>
    <row r="560">
      <c r="C560" s="42"/>
    </row>
    <row r="561">
      <c r="C561" s="42"/>
    </row>
    <row r="562">
      <c r="C562" s="42"/>
    </row>
    <row r="563">
      <c r="C563" s="42"/>
    </row>
    <row r="564">
      <c r="C564" s="42"/>
    </row>
    <row r="565">
      <c r="C565" s="42"/>
    </row>
    <row r="566">
      <c r="C566" s="42"/>
    </row>
    <row r="567">
      <c r="C567" s="42"/>
    </row>
    <row r="568">
      <c r="C568" s="42"/>
    </row>
    <row r="569">
      <c r="C569" s="42"/>
    </row>
    <row r="570">
      <c r="C570" s="42"/>
    </row>
    <row r="571">
      <c r="C571" s="42"/>
    </row>
    <row r="572">
      <c r="C572" s="42"/>
    </row>
    <row r="573">
      <c r="C573" s="42"/>
    </row>
    <row r="574">
      <c r="C574" s="42"/>
    </row>
    <row r="575">
      <c r="C575" s="42"/>
    </row>
    <row r="576">
      <c r="C576" s="42"/>
    </row>
    <row r="577">
      <c r="C577" s="42"/>
    </row>
    <row r="578">
      <c r="C578" s="42"/>
    </row>
    <row r="579">
      <c r="C579" s="42"/>
    </row>
    <row r="580">
      <c r="C580" s="42"/>
    </row>
    <row r="581">
      <c r="C581" s="42"/>
    </row>
    <row r="582">
      <c r="C582" s="42"/>
    </row>
    <row r="583">
      <c r="C583" s="42"/>
    </row>
    <row r="584">
      <c r="C584" s="42"/>
    </row>
    <row r="585">
      <c r="C585" s="42"/>
    </row>
    <row r="586">
      <c r="C586" s="42"/>
    </row>
    <row r="587">
      <c r="C587" s="42"/>
    </row>
    <row r="588">
      <c r="C588" s="42"/>
    </row>
    <row r="589">
      <c r="C589" s="42"/>
    </row>
    <row r="590">
      <c r="C590" s="42"/>
    </row>
    <row r="591">
      <c r="C591" s="42"/>
    </row>
    <row r="592">
      <c r="C592" s="42"/>
    </row>
    <row r="593">
      <c r="C593" s="42"/>
    </row>
    <row r="594">
      <c r="C594" s="42"/>
    </row>
    <row r="595">
      <c r="C595" s="42"/>
    </row>
    <row r="596">
      <c r="C596" s="42"/>
    </row>
    <row r="597">
      <c r="C597" s="42"/>
    </row>
    <row r="598">
      <c r="C598" s="42"/>
    </row>
    <row r="599">
      <c r="C599" s="42"/>
    </row>
    <row r="600">
      <c r="C600" s="42"/>
    </row>
    <row r="601">
      <c r="C601" s="42"/>
    </row>
    <row r="602">
      <c r="C602" s="42"/>
    </row>
    <row r="603">
      <c r="C603" s="42"/>
    </row>
    <row r="604">
      <c r="C604" s="42"/>
    </row>
    <row r="605">
      <c r="C605" s="42"/>
    </row>
    <row r="606">
      <c r="C606" s="42"/>
    </row>
    <row r="607">
      <c r="C607" s="42"/>
    </row>
    <row r="608">
      <c r="C608" s="42"/>
    </row>
    <row r="609">
      <c r="C609" s="42"/>
    </row>
    <row r="610">
      <c r="C610" s="42"/>
    </row>
    <row r="611">
      <c r="C611" s="42"/>
    </row>
    <row r="612">
      <c r="C612" s="42"/>
    </row>
    <row r="613">
      <c r="C613" s="42"/>
    </row>
    <row r="614">
      <c r="C614" s="42"/>
    </row>
    <row r="615">
      <c r="C615" s="42"/>
    </row>
    <row r="616">
      <c r="C616" s="42"/>
    </row>
    <row r="617">
      <c r="C617" s="42"/>
    </row>
    <row r="618">
      <c r="C618" s="42"/>
    </row>
    <row r="619">
      <c r="C619" s="42"/>
    </row>
    <row r="620">
      <c r="C620" s="42"/>
    </row>
    <row r="621">
      <c r="C621" s="42"/>
    </row>
    <row r="622">
      <c r="C622" s="42"/>
    </row>
    <row r="623">
      <c r="C623" s="42"/>
    </row>
    <row r="624">
      <c r="C624" s="42"/>
    </row>
    <row r="625">
      <c r="C625" s="42"/>
    </row>
    <row r="626">
      <c r="C626" s="42"/>
    </row>
    <row r="627">
      <c r="C627" s="42"/>
    </row>
    <row r="628">
      <c r="C628" s="42"/>
    </row>
    <row r="629">
      <c r="C629" s="42"/>
    </row>
    <row r="630">
      <c r="C630" s="42"/>
    </row>
    <row r="631">
      <c r="C631" s="42"/>
    </row>
    <row r="632">
      <c r="C632" s="42"/>
    </row>
    <row r="633">
      <c r="C633" s="42"/>
    </row>
    <row r="634">
      <c r="C634" s="42"/>
    </row>
    <row r="635">
      <c r="C635" s="42"/>
    </row>
    <row r="636">
      <c r="C636" s="42"/>
    </row>
    <row r="637">
      <c r="C637" s="42"/>
    </row>
    <row r="638">
      <c r="C638" s="42"/>
    </row>
    <row r="639">
      <c r="C639" s="42"/>
    </row>
    <row r="640">
      <c r="C640" s="42"/>
    </row>
    <row r="641">
      <c r="C641" s="42"/>
    </row>
    <row r="642">
      <c r="C642" s="42"/>
    </row>
    <row r="643">
      <c r="C643" s="42"/>
    </row>
    <row r="644">
      <c r="C644" s="42"/>
    </row>
    <row r="645">
      <c r="C645" s="42"/>
    </row>
    <row r="646">
      <c r="C646" s="42"/>
    </row>
    <row r="647">
      <c r="C647" s="42"/>
    </row>
    <row r="648">
      <c r="C648" s="42"/>
    </row>
    <row r="649">
      <c r="C649" s="42"/>
    </row>
    <row r="650">
      <c r="C650" s="42"/>
    </row>
    <row r="651">
      <c r="C651" s="42"/>
    </row>
    <row r="652">
      <c r="C652" s="42"/>
    </row>
    <row r="653">
      <c r="C653" s="42"/>
    </row>
    <row r="654">
      <c r="C654" s="42"/>
    </row>
    <row r="655">
      <c r="C655" s="42"/>
    </row>
    <row r="656">
      <c r="C656" s="42"/>
    </row>
    <row r="657">
      <c r="C657" s="42"/>
    </row>
    <row r="658">
      <c r="C658" s="42"/>
    </row>
    <row r="659">
      <c r="C659" s="42"/>
    </row>
    <row r="660">
      <c r="C660" s="42"/>
    </row>
    <row r="661">
      <c r="C661" s="42"/>
    </row>
    <row r="662">
      <c r="C662" s="42"/>
    </row>
    <row r="663">
      <c r="C663" s="42"/>
    </row>
    <row r="664">
      <c r="C664" s="42"/>
    </row>
    <row r="665">
      <c r="C665" s="42"/>
    </row>
    <row r="666">
      <c r="C666" s="42"/>
    </row>
    <row r="667">
      <c r="C667" s="42"/>
    </row>
    <row r="668">
      <c r="C668" s="42"/>
    </row>
    <row r="669">
      <c r="C669" s="42"/>
    </row>
    <row r="670">
      <c r="C670" s="42"/>
    </row>
    <row r="671">
      <c r="C671" s="42"/>
    </row>
    <row r="672">
      <c r="C672" s="42"/>
    </row>
    <row r="673">
      <c r="C673" s="42"/>
    </row>
    <row r="674">
      <c r="C674" s="42"/>
    </row>
    <row r="675">
      <c r="C675" s="42"/>
    </row>
    <row r="676">
      <c r="C676" s="42"/>
    </row>
    <row r="677">
      <c r="C677" s="42"/>
    </row>
    <row r="678">
      <c r="C678" s="42"/>
    </row>
    <row r="679">
      <c r="C679" s="42"/>
    </row>
    <row r="680">
      <c r="C680" s="42"/>
    </row>
    <row r="681">
      <c r="C681" s="42"/>
    </row>
    <row r="682">
      <c r="C682" s="42"/>
    </row>
    <row r="683">
      <c r="C683" s="42"/>
    </row>
    <row r="684">
      <c r="C684" s="42"/>
    </row>
    <row r="685">
      <c r="C685" s="42"/>
    </row>
    <row r="686">
      <c r="C686" s="42"/>
    </row>
    <row r="687">
      <c r="C687" s="42"/>
    </row>
    <row r="688">
      <c r="C688" s="42"/>
    </row>
    <row r="689">
      <c r="C689" s="42"/>
    </row>
    <row r="690">
      <c r="C690" s="42"/>
    </row>
    <row r="691">
      <c r="C691" s="42"/>
    </row>
    <row r="692">
      <c r="C692" s="42"/>
    </row>
    <row r="693">
      <c r="C693" s="42"/>
    </row>
    <row r="694">
      <c r="C694" s="42"/>
    </row>
    <row r="695">
      <c r="C695" s="42"/>
    </row>
    <row r="696">
      <c r="C696" s="42"/>
    </row>
    <row r="697">
      <c r="C697" s="42"/>
    </row>
    <row r="698">
      <c r="C698" s="42"/>
    </row>
    <row r="699">
      <c r="C699" s="42"/>
    </row>
    <row r="700">
      <c r="C700" s="42"/>
    </row>
    <row r="701">
      <c r="C701" s="42"/>
    </row>
    <row r="702">
      <c r="C702" s="42"/>
    </row>
    <row r="703">
      <c r="C703" s="42"/>
    </row>
    <row r="704">
      <c r="C704" s="42"/>
    </row>
    <row r="705">
      <c r="C705" s="42"/>
    </row>
    <row r="706">
      <c r="C706" s="42"/>
    </row>
    <row r="707">
      <c r="C707" s="42"/>
    </row>
    <row r="708">
      <c r="C708" s="42"/>
    </row>
    <row r="709">
      <c r="C709" s="42"/>
    </row>
    <row r="710">
      <c r="C710" s="42"/>
    </row>
    <row r="711">
      <c r="C711" s="42"/>
    </row>
    <row r="712">
      <c r="C712" s="42"/>
    </row>
    <row r="713">
      <c r="C713" s="42"/>
    </row>
    <row r="714">
      <c r="C714" s="42"/>
    </row>
    <row r="715">
      <c r="C715" s="42"/>
    </row>
    <row r="716">
      <c r="C716" s="42"/>
    </row>
    <row r="717">
      <c r="C717" s="42"/>
    </row>
    <row r="718">
      <c r="C718" s="42"/>
    </row>
    <row r="719">
      <c r="C719" s="42"/>
    </row>
    <row r="720">
      <c r="C720" s="42"/>
    </row>
    <row r="721">
      <c r="C721" s="42"/>
    </row>
    <row r="722">
      <c r="C722" s="42"/>
    </row>
    <row r="723">
      <c r="C723" s="42"/>
    </row>
    <row r="724">
      <c r="C724" s="42"/>
    </row>
    <row r="725">
      <c r="C725" s="42"/>
    </row>
    <row r="726">
      <c r="C726" s="42"/>
    </row>
    <row r="727">
      <c r="C727" s="42"/>
    </row>
    <row r="728">
      <c r="C728" s="42"/>
    </row>
    <row r="729">
      <c r="C729" s="42"/>
    </row>
    <row r="730">
      <c r="C730" s="42"/>
    </row>
    <row r="731">
      <c r="C731" s="42"/>
    </row>
    <row r="732">
      <c r="C732" s="42"/>
    </row>
    <row r="733">
      <c r="C733" s="42"/>
    </row>
    <row r="734">
      <c r="C734" s="42"/>
    </row>
    <row r="735">
      <c r="C735" s="42"/>
    </row>
    <row r="736">
      <c r="C736" s="42"/>
    </row>
    <row r="737">
      <c r="C737" s="42"/>
    </row>
    <row r="738">
      <c r="C738" s="42"/>
    </row>
    <row r="739">
      <c r="C739" s="42"/>
    </row>
    <row r="740">
      <c r="C740" s="42"/>
    </row>
    <row r="741">
      <c r="C741" s="42"/>
    </row>
    <row r="742">
      <c r="C742" s="42"/>
    </row>
    <row r="743">
      <c r="C743" s="42"/>
    </row>
    <row r="744">
      <c r="C744" s="42"/>
    </row>
    <row r="745">
      <c r="C745" s="42"/>
    </row>
    <row r="746">
      <c r="C746" s="42"/>
    </row>
    <row r="747">
      <c r="C747" s="42"/>
    </row>
    <row r="748">
      <c r="C748" s="42"/>
    </row>
    <row r="749">
      <c r="C749" s="42"/>
    </row>
    <row r="750">
      <c r="C750" s="42"/>
    </row>
    <row r="751">
      <c r="C751" s="42"/>
    </row>
    <row r="752">
      <c r="C752" s="42"/>
    </row>
    <row r="753">
      <c r="C753" s="42"/>
    </row>
    <row r="754">
      <c r="C754" s="42"/>
    </row>
    <row r="755">
      <c r="C755" s="42"/>
    </row>
    <row r="756">
      <c r="C756" s="42"/>
    </row>
    <row r="757">
      <c r="C757" s="42"/>
    </row>
    <row r="758">
      <c r="C758" s="42"/>
    </row>
    <row r="759">
      <c r="C759" s="42"/>
    </row>
    <row r="760">
      <c r="C760" s="42"/>
    </row>
    <row r="761">
      <c r="C761" s="42"/>
    </row>
    <row r="762">
      <c r="C762" s="42"/>
    </row>
    <row r="763">
      <c r="C763" s="42"/>
    </row>
    <row r="764">
      <c r="C764" s="42"/>
    </row>
    <row r="765">
      <c r="C765" s="42"/>
    </row>
    <row r="766">
      <c r="C766" s="42"/>
    </row>
    <row r="767">
      <c r="C767" s="42"/>
    </row>
    <row r="768">
      <c r="C768" s="42"/>
    </row>
    <row r="769">
      <c r="C769" s="42"/>
    </row>
    <row r="770">
      <c r="C770" s="42"/>
    </row>
    <row r="771">
      <c r="C771" s="42"/>
    </row>
    <row r="772">
      <c r="C772" s="42"/>
    </row>
    <row r="773">
      <c r="C773" s="42"/>
    </row>
    <row r="774">
      <c r="C774" s="42"/>
    </row>
    <row r="775">
      <c r="C775" s="42"/>
    </row>
    <row r="776">
      <c r="C776" s="42"/>
    </row>
    <row r="777">
      <c r="C777" s="42"/>
    </row>
    <row r="778">
      <c r="C778" s="42"/>
    </row>
    <row r="779">
      <c r="C779" s="42"/>
    </row>
    <row r="780">
      <c r="C780" s="42"/>
    </row>
    <row r="781">
      <c r="C781" s="42"/>
    </row>
    <row r="782">
      <c r="C782" s="42"/>
    </row>
    <row r="783">
      <c r="C783" s="42"/>
    </row>
    <row r="784">
      <c r="C784" s="42"/>
    </row>
    <row r="785">
      <c r="C785" s="42"/>
    </row>
    <row r="786">
      <c r="C786" s="42"/>
    </row>
    <row r="787">
      <c r="C787" s="42"/>
    </row>
    <row r="788">
      <c r="C788" s="42"/>
    </row>
    <row r="789">
      <c r="C789" s="42"/>
    </row>
    <row r="790">
      <c r="C790" s="42"/>
    </row>
    <row r="791">
      <c r="C791" s="42"/>
    </row>
    <row r="792">
      <c r="C792" s="42"/>
    </row>
  </sheetData>
  <conditionalFormatting sqref="E16">
    <cfRule type="notContainsBlanks" dxfId="0" priority="1">
      <formula>LEN(TRIM(E16))&gt;0</formula>
    </cfRule>
  </conditionalFormatting>
  <conditionalFormatting sqref="E4">
    <cfRule type="notContainsBlanks" dxfId="1" priority="2">
      <formula>LEN(TRIM(E4))&gt;0</formula>
    </cfRule>
  </conditionalFormatting>
  <conditionalFormatting sqref="E4">
    <cfRule type="notContainsBlanks" dxfId="1" priority="3">
      <formula>LEN(TRIM(E4))&gt;0</formula>
    </cfRule>
  </conditionalFormatting>
  <conditionalFormatting sqref="F7">
    <cfRule type="notContainsBlanks" dxfId="1" priority="4">
      <formula>LEN(TRIM(F7))&gt;0</formula>
    </cfRule>
  </conditionalFormatting>
  <drawing r:id="rId1"/>
  <tableParts count="1">
    <tablePart r:id="rId3"/>
  </tableParts>
</worksheet>
</file>